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Financial Performance" sheetId="2" state="visible" r:id="rId2"/>
    <sheet xmlns:r="http://schemas.openxmlformats.org/officeDocument/2006/relationships" name="Market &amp; Competitive" sheetId="3" state="visible" r:id="rId3"/>
    <sheet xmlns:r="http://schemas.openxmlformats.org/officeDocument/2006/relationships" name="SWOT &amp; PESTLE" sheetId="4" state="visible" r:id="rId4"/>
    <sheet xmlns:r="http://schemas.openxmlformats.org/officeDocument/2006/relationships" name="Risk Analysis" sheetId="5" state="visible" r:id="rId5"/>
    <sheet xmlns:r="http://schemas.openxmlformats.org/officeDocument/2006/relationships" name="Growth Strategy" sheetId="6" state="visible" r:id="rId6"/>
    <sheet xmlns:r="http://schemas.openxmlformats.org/officeDocument/2006/relationships" name="Analyst Verdict &amp; Scorecard"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37">
    <font>
      <name val="Calibri"/>
      <family val="2"/>
      <color theme="1"/>
      <sz val="11"/>
      <scheme val="minor"/>
    </font>
    <font>
      <name val="Arial"/>
      <b val="1"/>
      <color rgb="00FFFFFF"/>
      <sz val="18"/>
    </font>
    <font>
      <name val="Arial"/>
      <color rgb="00A9CCE3"/>
      <sz val="10"/>
    </font>
    <font>
      <name val="Arial"/>
      <b val="1"/>
      <color rgb="00B8960C"/>
      <sz val="9"/>
    </font>
    <font>
      <name val="Arial"/>
      <color rgb="00FFFFFF"/>
      <sz val="8"/>
    </font>
    <font>
      <name val="Arial"/>
      <b val="1"/>
      <color rgb="001E8449"/>
      <sz val="11"/>
    </font>
    <font>
      <name val="Arial"/>
      <b val="1"/>
      <color rgb="00FFFFFF"/>
      <sz val="9"/>
    </font>
    <font>
      <name val="Arial"/>
      <color rgb="001C1C1C"/>
      <sz val="9"/>
    </font>
    <font>
      <name val="Arial"/>
      <b val="1"/>
      <color rgb="001C1C1C"/>
      <sz val="9"/>
    </font>
    <font>
      <name val="Arial"/>
      <b val="1"/>
      <color rgb="001E8449"/>
      <sz val="9"/>
    </font>
    <font>
      <name val="Arial"/>
      <b val="1"/>
      <color rgb="00003366"/>
      <sz val="9"/>
    </font>
    <font>
      <name val="Arial"/>
      <b val="1"/>
      <color rgb="00D4AC0D"/>
      <sz val="9"/>
    </font>
    <font>
      <name val="Arial"/>
      <b val="1"/>
      <color rgb="00FFFFFF"/>
      <sz val="13"/>
    </font>
    <font>
      <name val="Arial"/>
      <b val="1"/>
      <color rgb="00A9CCE3"/>
      <sz val="9"/>
    </font>
    <font>
      <name val="Arial"/>
      <b val="1"/>
      <color rgb="00FFFFFF"/>
      <sz val="10"/>
    </font>
    <font>
      <name val="Arial"/>
      <color rgb="001C1C1C"/>
      <sz val="10"/>
    </font>
    <font>
      <name val="Arial"/>
      <b val="1"/>
      <color rgb="001E8449"/>
      <sz val="10"/>
    </font>
    <font>
      <name val="Arial"/>
      <color rgb="001E8449"/>
      <sz val="9"/>
    </font>
    <font>
      <name val="Arial"/>
      <b val="1"/>
      <color rgb="001C1C1C"/>
      <sz val="10"/>
    </font>
    <font>
      <name val="Arial"/>
      <i val="1"/>
      <color rgb="005D6D7E"/>
      <sz val="8"/>
    </font>
    <font>
      <name val="Arial"/>
      <b val="1"/>
      <color rgb="00D4AC0D"/>
      <sz val="10"/>
    </font>
    <font>
      <name val="Arial"/>
      <b val="1"/>
      <color rgb="005D6D7E"/>
      <sz val="10"/>
    </font>
    <font>
      <name val="Arial"/>
      <b val="1"/>
      <color rgb="00C0392B"/>
      <sz val="9"/>
    </font>
    <font>
      <name val="Arial"/>
      <b val="1"/>
      <color rgb="00003366"/>
      <sz val="10"/>
    </font>
    <font>
      <name val="Arial"/>
      <color rgb="001C1C1C"/>
      <sz val="8"/>
    </font>
    <font>
      <name val="Arial"/>
      <b val="1"/>
      <color rgb="00C0392B"/>
      <sz val="10"/>
    </font>
    <font>
      <name val="Arial"/>
      <b val="1"/>
      <color rgb="005D6D7E"/>
      <sz val="9"/>
    </font>
    <font>
      <name val="Arial"/>
      <b val="1"/>
      <color rgb="00FFFFFF"/>
      <sz val="11"/>
    </font>
    <font>
      <name val="Arial"/>
      <b val="1"/>
      <color rgb="00B8960C"/>
      <sz val="10"/>
    </font>
    <font>
      <name val="Arial"/>
      <b val="1"/>
      <color rgb="00FFFFFF"/>
      <sz val="8"/>
    </font>
    <font>
      <name val="Arial"/>
      <color rgb="001E8449"/>
      <sz val="8"/>
    </font>
    <font>
      <name val="Arial"/>
      <color rgb="00B8960C"/>
      <sz val="8"/>
    </font>
    <font>
      <name val="Arial"/>
      <b val="1"/>
      <color rgb="001E8449"/>
      <sz val="16"/>
    </font>
    <font>
      <name val="Arial"/>
      <color rgb="00003366"/>
      <sz val="9"/>
    </font>
    <font>
      <name val="Arial"/>
      <i val="1"/>
      <color rgb="001C1C1C"/>
      <sz val="8"/>
    </font>
    <font>
      <name val="Arial"/>
      <b val="1"/>
      <color rgb="001E8449"/>
      <sz val="12"/>
    </font>
    <font>
      <name val="Arial"/>
      <i val="1"/>
      <color rgb="005D6D7E"/>
      <sz val="7.5"/>
    </font>
  </fonts>
  <fills count="16">
    <fill>
      <patternFill/>
    </fill>
    <fill>
      <patternFill patternType="gray125"/>
    </fill>
    <fill>
      <patternFill patternType="solid">
        <fgColor rgb="00003366"/>
      </patternFill>
    </fill>
    <fill>
      <patternFill patternType="solid">
        <fgColor rgb="001A5276"/>
      </patternFill>
    </fill>
    <fill>
      <patternFill patternType="solid">
        <fgColor rgb="00E8EEF4"/>
      </patternFill>
    </fill>
    <fill>
      <patternFill patternType="solid">
        <fgColor rgb="00B8960C"/>
      </patternFill>
    </fill>
    <fill>
      <patternFill patternType="solid">
        <fgColor rgb="001E8449"/>
      </patternFill>
    </fill>
    <fill>
      <patternFill patternType="solid">
        <fgColor rgb="00E8E8E8"/>
      </patternFill>
    </fill>
    <fill>
      <patternFill patternType="solid">
        <fgColor rgb="00FFFFFF"/>
      </patternFill>
    </fill>
    <fill>
      <patternFill patternType="solid">
        <fgColor rgb="00D4AC0D"/>
      </patternFill>
    </fill>
    <fill>
      <patternFill patternType="solid">
        <fgColor rgb="00C0392B"/>
      </patternFill>
    </fill>
    <fill>
      <patternFill patternType="solid">
        <fgColor rgb="00EAF4EC"/>
      </patternFill>
    </fill>
    <fill>
      <patternFill patternType="solid">
        <fgColor rgb="00FDEDEC"/>
      </patternFill>
    </fill>
    <fill>
      <patternFill patternType="solid">
        <fgColor rgb="007D3C98"/>
      </patternFill>
    </fill>
    <fill>
      <patternFill patternType="solid">
        <fgColor rgb="00F5EEF8"/>
      </patternFill>
    </fill>
    <fill>
      <patternFill patternType="solid">
        <fgColor rgb="005D6D7E"/>
      </patternFill>
    </fill>
  </fills>
  <borders count="12">
    <border>
      <left/>
      <right/>
      <top/>
      <bottom/>
      <diagonal/>
    </border>
    <border>
      <left style="thin">
        <color rgb="00D0D3D4"/>
      </left>
      <right style="thin">
        <color rgb="00D0D3D4"/>
      </right>
      <top style="thin">
        <color rgb="00D0D3D4"/>
      </top>
      <bottom style="thin">
        <color rgb="00D0D3D4"/>
      </bottom>
    </border>
    <border>
      <left/>
      <right/>
      <top style="thin">
        <color rgb="00D0D3D4"/>
      </top>
      <bottom/>
      <diagonal/>
    </border>
    <border>
      <left/>
      <right style="thin">
        <color rgb="00D0D3D4"/>
      </right>
      <top style="thin">
        <color rgb="00D0D3D4"/>
      </top>
      <bottom/>
      <diagonal/>
    </border>
    <border>
      <left/>
      <right style="thin">
        <color rgb="00D0D3D4"/>
      </right>
      <top style="thin">
        <color rgb="00D0D3D4"/>
      </top>
      <bottom style="thin">
        <color rgb="00D0D3D4"/>
      </bottom>
      <diagonal/>
    </border>
    <border>
      <left style="thick">
        <color rgb="001E8449"/>
      </left>
      <right style="thick">
        <color rgb="001E8449"/>
      </right>
      <top style="thick">
        <color rgb="001E8449"/>
      </top>
      <bottom style="thick">
        <color rgb="001E8449"/>
      </bottom>
    </border>
    <border>
      <left style="thick">
        <color rgb="001E8449"/>
      </left>
      <right style="thin">
        <color rgb="00D0D3D4"/>
      </right>
      <bottom style="thin">
        <color rgb="00D0D3D4"/>
      </bottom>
    </border>
    <border>
      <left/>
      <right style="thin">
        <color rgb="00D0D3D4"/>
      </right>
      <top/>
      <bottom/>
      <diagonal/>
    </border>
    <border>
      <left/>
      <right/>
      <top/>
      <bottom style="thin">
        <color rgb="00D0D3D4"/>
      </bottom>
      <diagonal/>
    </border>
    <border>
      <left/>
      <right style="thin">
        <color rgb="00D0D3D4"/>
      </right>
      <top/>
      <bottom style="thin">
        <color rgb="00D0D3D4"/>
      </bottom>
      <diagonal/>
    </border>
    <border>
      <left style="thick">
        <color rgb="00003366"/>
      </left>
      <right style="thin">
        <color rgb="00D0D3D4"/>
      </right>
      <bottom style="thin">
        <color rgb="00D0D3D4"/>
      </bottom>
    </border>
    <border>
      <left style="thick">
        <color rgb="00B8960C"/>
      </left>
      <right style="thin">
        <color rgb="00D0D3D4"/>
      </right>
      <bottom style="thin">
        <color rgb="00D0D3D4"/>
      </bottom>
    </border>
  </borders>
  <cellStyleXfs count="1">
    <xf numFmtId="0" fontId="0" fillId="0" borderId="0"/>
  </cellStyleXfs>
  <cellXfs count="138">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0" applyAlignment="1" pivotButton="0" quotePrefix="0" xfId="0">
      <alignment horizontal="center" vertical="center"/>
    </xf>
    <xf numFmtId="0" fontId="4" fillId="3" borderId="1" applyAlignment="1" pivotButton="0" quotePrefix="0" xfId="0">
      <alignment horizontal="center" vertical="center"/>
    </xf>
    <xf numFmtId="0" fontId="5" fillId="4" borderId="1" applyAlignment="1" pivotButton="0" quotePrefix="0" xfId="0">
      <alignment horizontal="center" vertical="center"/>
    </xf>
    <xf numFmtId="0" fontId="6" fillId="2" borderId="1" applyAlignment="1" pivotButton="0" quotePrefix="0" xfId="0">
      <alignment horizontal="left" vertical="center"/>
    </xf>
    <xf numFmtId="0" fontId="7" fillId="4" borderId="1" applyAlignment="1" pivotButton="0" quotePrefix="0" xfId="0">
      <alignment horizontal="left" vertical="center" wrapText="1"/>
    </xf>
    <xf numFmtId="0" fontId="6" fillId="3" borderId="1" applyAlignment="1" pivotButton="0" quotePrefix="0" xfId="0">
      <alignment horizontal="left" vertical="center"/>
    </xf>
    <xf numFmtId="0" fontId="8" fillId="5" borderId="1" applyAlignment="1" pivotButton="0" quotePrefix="0" xfId="0">
      <alignment horizontal="left" vertical="center"/>
    </xf>
    <xf numFmtId="0" fontId="6" fillId="6" borderId="1" applyAlignment="1" pivotButton="0" quotePrefix="0" xfId="0">
      <alignment horizontal="left" vertical="center"/>
    </xf>
    <xf numFmtId="0" fontId="6" fillId="2" borderId="0" applyAlignment="1" pivotButton="0" quotePrefix="0" xfId="0">
      <alignment horizontal="center" vertical="center"/>
    </xf>
    <xf numFmtId="0" fontId="7" fillId="4" borderId="1" applyAlignment="1" pivotButton="0" quotePrefix="0" xfId="0">
      <alignment horizontal="left" vertical="center"/>
    </xf>
    <xf numFmtId="0" fontId="0" fillId="6" borderId="1" pivotButton="0" quotePrefix="0" xfId="0"/>
    <xf numFmtId="0" fontId="0" fillId="7" borderId="1" pivotButton="0" quotePrefix="0" xfId="0"/>
    <xf numFmtId="0" fontId="9" fillId="4" borderId="1" applyAlignment="1" pivotButton="0" quotePrefix="0" xfId="0">
      <alignment horizontal="center" vertical="center"/>
    </xf>
    <xf numFmtId="0" fontId="7" fillId="8" borderId="1" applyAlignment="1" pivotButton="0" quotePrefix="0" xfId="0">
      <alignment horizontal="left" vertical="center"/>
    </xf>
    <xf numFmtId="0" fontId="0" fillId="2" borderId="1" pivotButton="0" quotePrefix="0" xfId="0"/>
    <xf numFmtId="0" fontId="10" fillId="8" borderId="1" applyAlignment="1" pivotButton="0" quotePrefix="0" xfId="0">
      <alignment horizontal="center" vertical="center"/>
    </xf>
    <xf numFmtId="0" fontId="0" fillId="5" borderId="1" pivotButton="0" quotePrefix="0" xfId="0"/>
    <xf numFmtId="0" fontId="3" fillId="8" borderId="1" applyAlignment="1" pivotButton="0" quotePrefix="0" xfId="0">
      <alignment horizontal="center" vertical="center"/>
    </xf>
    <xf numFmtId="0" fontId="0" fillId="9" borderId="1" pivotButton="0" quotePrefix="0" xfId="0"/>
    <xf numFmtId="0" fontId="11" fillId="4" borderId="1" applyAlignment="1" pivotButton="0" quotePrefix="0" xfId="0">
      <alignment horizontal="center" vertical="center"/>
    </xf>
    <xf numFmtId="0" fontId="11" fillId="8" borderId="1" applyAlignment="1" pivotButton="0" quotePrefix="0" xfId="0">
      <alignment horizontal="center" vertical="center"/>
    </xf>
    <xf numFmtId="0" fontId="8" fillId="8" borderId="1" applyAlignment="1" pivotButton="0" quotePrefix="0" xfId="0">
      <alignment horizontal="left" vertical="center"/>
    </xf>
    <xf numFmtId="0" fontId="9" fillId="8" borderId="1" applyAlignment="1" pivotButton="0" quotePrefix="0" xfId="0">
      <alignment horizontal="center" vertical="center"/>
    </xf>
    <xf numFmtId="0" fontId="12" fillId="2" borderId="0" applyAlignment="1" pivotButton="0" quotePrefix="0" xfId="0">
      <alignment horizontal="center" vertical="center"/>
    </xf>
    <xf numFmtId="0" fontId="13" fillId="3" borderId="0" applyAlignment="1" pivotButton="0" quotePrefix="0" xfId="0">
      <alignment horizontal="center" vertical="center"/>
    </xf>
    <xf numFmtId="0" fontId="14" fillId="2" borderId="0" applyAlignment="1" pivotButton="0" quotePrefix="0" xfId="0">
      <alignment horizontal="center" vertical="center"/>
    </xf>
    <xf numFmtId="0" fontId="6" fillId="3" borderId="1" applyAlignment="1" pivotButton="0" quotePrefix="0" xfId="0">
      <alignment horizontal="center" vertical="center"/>
    </xf>
    <xf numFmtId="0" fontId="15" fillId="4" borderId="1" applyAlignment="1" pivotButton="0" quotePrefix="0" xfId="0">
      <alignment horizontal="left" vertical="center"/>
    </xf>
    <xf numFmtId="0" fontId="15" fillId="4" borderId="1" applyAlignment="1" pivotButton="0" quotePrefix="0" xfId="0">
      <alignment horizontal="center" vertical="center"/>
    </xf>
    <xf numFmtId="0" fontId="16" fillId="4" borderId="1" applyAlignment="1" pivotButton="0" quotePrefix="0" xfId="0">
      <alignment horizontal="center" vertical="center"/>
    </xf>
    <xf numFmtId="164" fontId="17" fillId="4" borderId="1" applyAlignment="1" pivotButton="0" quotePrefix="0" xfId="0">
      <alignment horizontal="center" vertical="center"/>
    </xf>
    <xf numFmtId="0" fontId="15" fillId="8" borderId="1" applyAlignment="1" pivotButton="0" quotePrefix="0" xfId="0">
      <alignment horizontal="left" vertical="center"/>
    </xf>
    <xf numFmtId="0" fontId="15" fillId="8" borderId="1" applyAlignment="1" pivotButton="0" quotePrefix="0" xfId="0">
      <alignment horizontal="center" vertical="center"/>
    </xf>
    <xf numFmtId="0" fontId="16" fillId="8" borderId="1" applyAlignment="1" pivotButton="0" quotePrefix="0" xfId="0">
      <alignment horizontal="center" vertical="center"/>
    </xf>
    <xf numFmtId="164" fontId="17" fillId="8" borderId="1" applyAlignment="1" pivotButton="0" quotePrefix="0" xfId="0">
      <alignment horizontal="center" vertical="center"/>
    </xf>
    <xf numFmtId="2" fontId="17" fillId="8" borderId="1" applyAlignment="1" pivotButton="0" quotePrefix="0" xfId="0">
      <alignment horizontal="center" vertical="center"/>
    </xf>
    <xf numFmtId="2" fontId="17" fillId="4" borderId="1" applyAlignment="1" pivotButton="0" quotePrefix="0" xfId="0">
      <alignment horizontal="center" vertical="center"/>
    </xf>
    <xf numFmtId="0" fontId="18" fillId="8" borderId="1" applyAlignment="1" pivotButton="0" quotePrefix="0" xfId="0">
      <alignment horizontal="center" vertical="center"/>
    </xf>
    <xf numFmtId="2" fontId="7" fillId="8" borderId="1" applyAlignment="1" pivotButton="0" quotePrefix="0" xfId="0">
      <alignment horizontal="center" vertical="center"/>
    </xf>
    <xf numFmtId="0" fontId="18" fillId="4" borderId="1" applyAlignment="1" pivotButton="0" quotePrefix="0" xfId="0">
      <alignment horizontal="center" vertical="center"/>
    </xf>
    <xf numFmtId="2" fontId="7" fillId="4" borderId="1" applyAlignment="1" pivotButton="0" quotePrefix="0" xfId="0">
      <alignment horizontal="center" vertical="center"/>
    </xf>
    <xf numFmtId="0" fontId="0" fillId="0" borderId="4" pivotButton="0" quotePrefix="0" xfId="0"/>
    <xf numFmtId="0" fontId="19" fillId="4" borderId="1" applyAlignment="1" pivotButton="0" quotePrefix="0" xfId="0">
      <alignment horizontal="center" vertical="center"/>
    </xf>
    <xf numFmtId="0" fontId="0" fillId="4" borderId="1" pivotButton="0" quotePrefix="0" xfId="0"/>
    <xf numFmtId="0" fontId="19" fillId="8" borderId="1" applyAlignment="1" pivotButton="0" quotePrefix="0" xfId="0">
      <alignment horizontal="center" vertical="center"/>
    </xf>
    <xf numFmtId="0" fontId="0" fillId="8" borderId="1" pivotButton="0" quotePrefix="0" xfId="0"/>
    <xf numFmtId="0" fontId="20" fillId="4" borderId="1" applyAlignment="1" pivotButton="0" quotePrefix="0" xfId="0">
      <alignment horizontal="center" vertical="center"/>
    </xf>
    <xf numFmtId="0" fontId="21" fillId="8" borderId="1" applyAlignment="1" pivotButton="0" quotePrefix="0" xfId="0">
      <alignment horizontal="center" vertical="center"/>
    </xf>
    <xf numFmtId="0" fontId="22" fillId="8" borderId="1" applyAlignment="1" pivotButton="0" quotePrefix="0" xfId="0">
      <alignment horizontal="center" vertical="center"/>
    </xf>
    <xf numFmtId="0" fontId="23" fillId="4" borderId="1" applyAlignment="1" pivotButton="0" quotePrefix="0" xfId="0">
      <alignment horizontal="left" vertical="center"/>
    </xf>
    <xf numFmtId="4" fontId="16" fillId="4" borderId="1" applyAlignment="1" pivotButton="0" quotePrefix="0" xfId="0">
      <alignment horizontal="center" vertical="center"/>
    </xf>
    <xf numFmtId="164" fontId="7" fillId="4" borderId="1" applyAlignment="1" pivotButton="0" quotePrefix="0" xfId="0">
      <alignment horizontal="center" vertical="center"/>
    </xf>
    <xf numFmtId="0" fontId="24" fillId="4" borderId="1" applyAlignment="1" pivotButton="0" quotePrefix="0" xfId="0">
      <alignment horizontal="left" vertical="center" wrapText="1"/>
    </xf>
    <xf numFmtId="0" fontId="23" fillId="8" borderId="1" applyAlignment="1" pivotButton="0" quotePrefix="0" xfId="0">
      <alignment horizontal="left" vertical="center"/>
    </xf>
    <xf numFmtId="4" fontId="16" fillId="8" borderId="1" applyAlignment="1" pivotButton="0" quotePrefix="0" xfId="0">
      <alignment horizontal="center" vertical="center"/>
    </xf>
    <xf numFmtId="164" fontId="7" fillId="8" borderId="1" applyAlignment="1" pivotButton="0" quotePrefix="0" xfId="0">
      <alignment horizontal="center" vertical="center"/>
    </xf>
    <xf numFmtId="0" fontId="24" fillId="8" borderId="1" applyAlignment="1" pivotButton="0" quotePrefix="0" xfId="0">
      <alignment horizontal="left" vertical="center" wrapText="1"/>
    </xf>
    <xf numFmtId="4" fontId="25" fillId="4" borderId="1" applyAlignment="1" pivotButton="0" quotePrefix="0" xfId="0">
      <alignment horizontal="center" vertical="center"/>
    </xf>
    <xf numFmtId="0" fontId="22" fillId="4" borderId="1" applyAlignment="1" pivotButton="0" quotePrefix="0" xfId="0">
      <alignment horizontal="center" vertical="center"/>
    </xf>
    <xf numFmtId="0" fontId="14" fillId="2" borderId="1" applyAlignment="1" pivotButton="0" quotePrefix="0" xfId="0">
      <alignment horizontal="center" vertical="center"/>
    </xf>
    <xf numFmtId="4" fontId="14" fillId="2" borderId="1" applyAlignment="1" pivotButton="0" quotePrefix="0" xfId="0">
      <alignment horizontal="center" vertical="center"/>
    </xf>
    <xf numFmtId="0" fontId="14" fillId="2" borderId="1" applyAlignment="1" pivotButton="0" quotePrefix="0" xfId="0">
      <alignment horizontal="left" vertical="center"/>
    </xf>
    <xf numFmtId="0" fontId="24" fillId="4" borderId="1" applyAlignment="1" pivotButton="0" quotePrefix="0" xfId="0">
      <alignment horizontal="left" vertical="center"/>
    </xf>
    <xf numFmtId="0" fontId="24" fillId="8" borderId="1" applyAlignment="1" pivotButton="0" quotePrefix="0" xfId="0">
      <alignment horizontal="left" vertical="center"/>
    </xf>
    <xf numFmtId="0" fontId="20" fillId="8" borderId="1" applyAlignment="1" pivotButton="0" quotePrefix="0" xfId="0">
      <alignment horizontal="center" vertical="center"/>
    </xf>
    <xf numFmtId="0" fontId="25" fillId="4" borderId="1" applyAlignment="1" pivotButton="0" quotePrefix="0" xfId="0">
      <alignment horizontal="center" vertical="center"/>
    </xf>
    <xf numFmtId="0" fontId="10" fillId="4" borderId="1" applyAlignment="1" pivotButton="0" quotePrefix="0" xfId="0">
      <alignment horizontal="center" vertical="center"/>
    </xf>
    <xf numFmtId="0" fontId="20" fillId="8" borderId="1" applyAlignment="1" pivotButton="0" quotePrefix="0" xfId="0">
      <alignment horizontal="left" vertical="center"/>
    </xf>
    <xf numFmtId="0" fontId="20" fillId="4" borderId="1" applyAlignment="1" pivotButton="0" quotePrefix="0" xfId="0">
      <alignment horizontal="left" vertical="center"/>
    </xf>
    <xf numFmtId="0" fontId="21" fillId="8" borderId="1" applyAlignment="1" pivotButton="0" quotePrefix="0" xfId="0">
      <alignment horizontal="left" vertical="center"/>
    </xf>
    <xf numFmtId="0" fontId="26" fillId="8" borderId="1" applyAlignment="1" pivotButton="0" quotePrefix="0" xfId="0">
      <alignment horizontal="center" vertical="center"/>
    </xf>
    <xf numFmtId="0" fontId="21" fillId="4" borderId="1" applyAlignment="1" pivotButton="0" quotePrefix="0" xfId="0">
      <alignment horizontal="left" vertical="center"/>
    </xf>
    <xf numFmtId="0" fontId="26" fillId="4" borderId="1" applyAlignment="1" pivotButton="0" quotePrefix="0" xfId="0">
      <alignment horizontal="center" vertical="center"/>
    </xf>
    <xf numFmtId="0" fontId="25" fillId="8" borderId="1" applyAlignment="1" pivotButton="0" quotePrefix="0" xfId="0">
      <alignment horizontal="left" vertical="center"/>
    </xf>
    <xf numFmtId="0" fontId="7" fillId="4" borderId="1" applyAlignment="1" pivotButton="0" quotePrefix="0" xfId="0">
      <alignment horizontal="center" vertical="center"/>
    </xf>
    <xf numFmtId="0" fontId="7" fillId="8" borderId="1" applyAlignment="1" pivotButton="0" quotePrefix="0" xfId="0">
      <alignment horizontal="center" vertical="center"/>
    </xf>
    <xf numFmtId="0" fontId="27" fillId="6" borderId="1" applyAlignment="1" pivotButton="0" quotePrefix="0" xfId="0">
      <alignment horizontal="center" vertical="center"/>
    </xf>
    <xf numFmtId="0" fontId="27" fillId="10" borderId="1" applyAlignment="1" pivotButton="0" quotePrefix="0" xfId="0">
      <alignment horizontal="center" vertical="center"/>
    </xf>
    <xf numFmtId="0" fontId="0" fillId="10" borderId="1" pivotButton="0" quotePrefix="0" xfId="0"/>
    <xf numFmtId="0" fontId="7" fillId="11" borderId="1" applyAlignment="1" pivotButton="0" quotePrefix="0" xfId="0">
      <alignment horizontal="left" vertical="center" wrapText="1"/>
    </xf>
    <xf numFmtId="0" fontId="0" fillId="11" borderId="1" pivotButton="0" quotePrefix="0" xfId="0"/>
    <xf numFmtId="0" fontId="7" fillId="12" borderId="1" applyAlignment="1" pivotButton="0" quotePrefix="0" xfId="0">
      <alignment horizontal="left" vertical="center" wrapText="1"/>
    </xf>
    <xf numFmtId="0" fontId="0" fillId="12" borderId="1" pivotButton="0" quotePrefix="0" xfId="0"/>
    <xf numFmtId="0" fontId="7" fillId="8" borderId="1" applyAlignment="1" pivotButton="0" quotePrefix="0" xfId="0">
      <alignment horizontal="left" vertical="center" wrapText="1"/>
    </xf>
    <xf numFmtId="0" fontId="27" fillId="3" borderId="1" applyAlignment="1" pivotButton="0" quotePrefix="0" xfId="0">
      <alignment horizontal="center" vertical="center"/>
    </xf>
    <xf numFmtId="0" fontId="0" fillId="3" borderId="1" pivotButton="0" quotePrefix="0" xfId="0"/>
    <xf numFmtId="0" fontId="27" fillId="13" borderId="1" applyAlignment="1" pivotButton="0" quotePrefix="0" xfId="0">
      <alignment horizontal="center" vertical="center"/>
    </xf>
    <xf numFmtId="0" fontId="0" fillId="13" borderId="1" pivotButton="0" quotePrefix="0" xfId="0"/>
    <xf numFmtId="0" fontId="7" fillId="14" borderId="1" applyAlignment="1" pivotButton="0" quotePrefix="0" xfId="0">
      <alignment horizontal="left" vertical="center" wrapText="1"/>
    </xf>
    <xf numFmtId="0" fontId="0" fillId="14" borderId="1" pivotButton="0" quotePrefix="0" xfId="0"/>
    <xf numFmtId="0" fontId="6" fillId="15" borderId="1" applyAlignment="1" pivotButton="0" quotePrefix="0" xfId="0">
      <alignment horizontal="center" vertical="center"/>
    </xf>
    <xf numFmtId="0" fontId="6" fillId="5" borderId="1" applyAlignment="1" pivotButton="0" quotePrefix="0" xfId="0">
      <alignment horizontal="center" vertical="center"/>
    </xf>
    <xf numFmtId="0" fontId="8" fillId="5" borderId="1" applyAlignment="1" pivotButton="0" quotePrefix="0" xfId="0">
      <alignment horizontal="center" vertical="center"/>
    </xf>
    <xf numFmtId="0" fontId="6" fillId="10" borderId="1" applyAlignment="1" pivotButton="0" quotePrefix="0" xfId="0">
      <alignment horizontal="center" vertical="center"/>
    </xf>
    <xf numFmtId="0" fontId="6" fillId="6" borderId="1" applyAlignment="1" pivotButton="0" quotePrefix="0" xfId="0">
      <alignment horizontal="center" vertical="center"/>
    </xf>
    <xf numFmtId="0" fontId="10" fillId="4" borderId="1" applyAlignment="1" pivotButton="0" quotePrefix="0" xfId="0">
      <alignment horizontal="left" vertical="top" wrapText="1"/>
    </xf>
    <xf numFmtId="0" fontId="24" fillId="4" borderId="1" applyAlignment="1" pivotButton="0" quotePrefix="0" xfId="0">
      <alignment horizontal="left" vertical="top" wrapText="1"/>
    </xf>
    <xf numFmtId="0" fontId="10" fillId="8" borderId="1" applyAlignment="1" pivotButton="0" quotePrefix="0" xfId="0">
      <alignment horizontal="left" vertical="top" wrapText="1"/>
    </xf>
    <xf numFmtId="0" fontId="25" fillId="8" borderId="1" applyAlignment="1" pivotButton="0" quotePrefix="0" xfId="0">
      <alignment horizontal="center" vertical="center"/>
    </xf>
    <xf numFmtId="0" fontId="24" fillId="8" borderId="1" applyAlignment="1" pivotButton="0" quotePrefix="0" xfId="0">
      <alignment horizontal="left" vertical="top" wrapText="1"/>
    </xf>
    <xf numFmtId="0" fontId="9" fillId="4" borderId="1" applyAlignment="1" pivotButton="0" quotePrefix="0" xfId="0">
      <alignment horizontal="left" vertical="center" wrapText="1"/>
    </xf>
    <xf numFmtId="0" fontId="9" fillId="8" borderId="1" applyAlignment="1" pivotButton="0" quotePrefix="0" xfId="0">
      <alignment horizontal="left" vertical="center" wrapText="1"/>
    </xf>
    <xf numFmtId="0" fontId="3" fillId="4" borderId="1" applyAlignment="1" pivotButton="0" quotePrefix="0" xfId="0">
      <alignment horizontal="left" vertical="center" wrapText="1"/>
    </xf>
    <xf numFmtId="0" fontId="28" fillId="4" borderId="1" applyAlignment="1" pivotButton="0" quotePrefix="0" xfId="0">
      <alignment horizontal="center" vertical="center"/>
    </xf>
    <xf numFmtId="0" fontId="11" fillId="8" borderId="1" applyAlignment="1" pivotButton="0" quotePrefix="0" xfId="0">
      <alignment horizontal="left" vertical="center" wrapText="1"/>
    </xf>
    <xf numFmtId="0" fontId="29" fillId="3" borderId="1" applyAlignment="1" pivotButton="0" quotePrefix="0" xfId="0">
      <alignment horizontal="center" vertical="center"/>
    </xf>
    <xf numFmtId="0" fontId="30" fillId="4" borderId="1" applyAlignment="1" pivotButton="0" quotePrefix="0" xfId="0">
      <alignment horizontal="left" vertical="center" wrapText="1"/>
    </xf>
    <xf numFmtId="0" fontId="30" fillId="8" borderId="1" applyAlignment="1" pivotButton="0" quotePrefix="0" xfId="0">
      <alignment horizontal="left" vertical="center" wrapText="1"/>
    </xf>
    <xf numFmtId="0" fontId="3" fillId="4" borderId="1" applyAlignment="1" pivotButton="0" quotePrefix="0" xfId="0">
      <alignment horizontal="center" vertical="center"/>
    </xf>
    <xf numFmtId="0" fontId="31" fillId="4" borderId="1" applyAlignment="1" pivotButton="0" quotePrefix="0" xfId="0">
      <alignment horizontal="left" vertical="center" wrapText="1"/>
    </xf>
    <xf numFmtId="0" fontId="31" fillId="8" borderId="1" applyAlignment="1" pivotButton="0" quotePrefix="0" xfId="0">
      <alignment horizontal="left" vertical="center" wrapText="1"/>
    </xf>
    <xf numFmtId="0" fontId="32" fillId="11" borderId="5" applyAlignment="1" pivotButton="0" quotePrefix="0" xfId="0">
      <alignment horizontal="center" vertical="center"/>
    </xf>
    <xf numFmtId="0" fontId="14" fillId="6" borderId="1" applyAlignment="1" pivotButton="0" quotePrefix="0" xfId="0">
      <alignment horizontal="left" vertical="center"/>
    </xf>
    <xf numFmtId="0" fontId="7" fillId="4" borderId="6" applyAlignment="1" pivotButton="0" quotePrefix="0" xfId="0">
      <alignment horizontal="left" vertical="top" wrapText="1"/>
    </xf>
    <xf numFmtId="0" fontId="0" fillId="4" borderId="8" pivotButton="0" quotePrefix="0" xfId="0"/>
    <xf numFmtId="0" fontId="0" fillId="4" borderId="9" pivotButton="0" quotePrefix="0" xfId="0"/>
    <xf numFmtId="0" fontId="6" fillId="2" borderId="1" applyAlignment="1" pivotButton="0" quotePrefix="0" xfId="0">
      <alignment horizontal="center" vertical="center"/>
    </xf>
    <xf numFmtId="0" fontId="7" fillId="8" borderId="10" applyAlignment="1" pivotButton="0" quotePrefix="0" xfId="0">
      <alignment horizontal="left" vertical="top" wrapText="1"/>
    </xf>
    <xf numFmtId="0" fontId="0" fillId="8" borderId="8" pivotButton="0" quotePrefix="0" xfId="0"/>
    <xf numFmtId="0" fontId="0" fillId="8" borderId="9" pivotButton="0" quotePrefix="0" xfId="0"/>
    <xf numFmtId="0" fontId="14" fillId="5" borderId="1" applyAlignment="1" pivotButton="0" quotePrefix="0" xfId="0">
      <alignment horizontal="left" vertical="center"/>
    </xf>
    <xf numFmtId="0" fontId="7" fillId="4" borderId="11" applyAlignment="1" pivotButton="0" quotePrefix="0" xfId="0">
      <alignment horizontal="left" vertical="top" wrapText="1"/>
    </xf>
    <xf numFmtId="0" fontId="33" fillId="4" borderId="1" applyAlignment="1" pivotButton="0" quotePrefix="0" xfId="0">
      <alignment horizontal="left" vertical="center"/>
    </xf>
    <xf numFmtId="165" fontId="16" fillId="4" borderId="1" applyAlignment="1" pivotButton="0" quotePrefix="0" xfId="0">
      <alignment horizontal="center" vertical="center"/>
    </xf>
    <xf numFmtId="0" fontId="34" fillId="4" borderId="1" applyAlignment="1" pivotButton="0" quotePrefix="0" xfId="0">
      <alignment horizontal="left" vertical="center" wrapText="1"/>
    </xf>
    <xf numFmtId="0" fontId="33" fillId="8" borderId="1" applyAlignment="1" pivotButton="0" quotePrefix="0" xfId="0">
      <alignment horizontal="left" vertical="center"/>
    </xf>
    <xf numFmtId="165" fontId="23" fillId="8" borderId="1" applyAlignment="1" pivotButton="0" quotePrefix="0" xfId="0">
      <alignment horizontal="center" vertical="center"/>
    </xf>
    <xf numFmtId="0" fontId="34" fillId="8" borderId="1" applyAlignment="1" pivotButton="0" quotePrefix="0" xfId="0">
      <alignment horizontal="left" vertical="center" wrapText="1"/>
    </xf>
    <xf numFmtId="165" fontId="28" fillId="8" borderId="1" applyAlignment="1" pivotButton="0" quotePrefix="0" xfId="0">
      <alignment horizontal="center" vertical="center"/>
    </xf>
    <xf numFmtId="165" fontId="20" fillId="4" borderId="1" applyAlignment="1" pivotButton="0" quotePrefix="0" xfId="0">
      <alignment horizontal="center" vertical="center"/>
    </xf>
    <xf numFmtId="165" fontId="25" fillId="4" borderId="1" applyAlignment="1" pivotButton="0" quotePrefix="0" xfId="0">
      <alignment horizontal="center" vertical="center"/>
    </xf>
    <xf numFmtId="165" fontId="20" fillId="8" borderId="1" applyAlignment="1" pivotButton="0" quotePrefix="0" xfId="0">
      <alignment horizontal="center" vertical="center"/>
    </xf>
    <xf numFmtId="0" fontId="9" fillId="8" borderId="1" applyAlignment="1" pivotButton="0" quotePrefix="0" xfId="0">
      <alignment horizontal="left" vertical="center"/>
    </xf>
    <xf numFmtId="165" fontId="35" fillId="8" borderId="1" applyAlignment="1" pivotButton="0" quotePrefix="0" xfId="0">
      <alignment horizontal="center" vertical="center"/>
    </xf>
    <xf numFmtId="0" fontId="36"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Goldman Sachs — Segment Revenue FY 2024 ($B)</a:t>
            </a:r>
          </a:p>
        </rich>
      </tx>
    </title>
    <plotArea>
      <barChart>
        <barDir val="col"/>
        <grouping val="clustered"/>
        <ser>
          <idx val="0"/>
          <order val="0"/>
          <spPr>
            <a:ln xmlns:a="http://schemas.openxmlformats.org/drawingml/2006/main">
              <a:prstDash val="solid"/>
            </a:ln>
          </spPr>
          <cat>
            <numRef>
              <f>'Financial Performance'!$B$29:$B$31</f>
            </numRef>
          </cat>
          <val>
            <numRef>
              <f>'Financial Performance'!$C$29:$C$31</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Segment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Revenue ($B)</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1</col>
      <colOff>0</colOff>
      <row>34</row>
      <rowOff>0</rowOff>
    </from>
    <ext cx="648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2:M28"/>
  <sheetViews>
    <sheetView showGridLines="0" workbookViewId="0">
      <selection activeCell="A1" sqref="A1"/>
    </sheetView>
  </sheetViews>
  <sheetFormatPr baseColWidth="8" defaultRowHeight="15"/>
  <cols>
    <col width="2" customWidth="1" min="1" max="1"/>
    <col width="32"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 width="4" customWidth="1" min="11" max="11"/>
    <col width="4" customWidth="1" min="12" max="12"/>
    <col width="8" customWidth="1" min="13" max="13"/>
    <col width="2" customWidth="1" min="14" max="14"/>
  </cols>
  <sheetData>
    <row r="1" ht="8" customHeight="1"/>
    <row r="2" ht="40" customHeight="1">
      <c r="B2" s="1" t="inlineStr">
        <is>
          <t>GOLDMAN SACHS GROUP, INC. — BUSINESS ANALYSIS REPORT</t>
        </is>
      </c>
    </row>
    <row r="3" ht="24" customHeight="1">
      <c r="B3" s="2" t="inlineStr">
        <is>
          <t>NYSE: GS  |  Investment Banking &amp; Financial Services  |  FY 2024  |  McKinsey &amp; Company</t>
        </is>
      </c>
    </row>
    <row r="4" ht="20" customHeight="1">
      <c r="B4" s="3" t="inlineStr">
        <is>
          <t>CONFIDENTIAL — INTERNAL STRATEGIC USE ONLY  |  March 2026</t>
        </is>
      </c>
    </row>
    <row r="5" ht="10" customHeight="1"/>
    <row r="6" ht="16" customHeight="1">
      <c r="B6" s="4" t="inlineStr">
        <is>
          <t>Net Revenues 2024</t>
        </is>
      </c>
      <c r="C6" s="4" t="inlineStr">
        <is>
          <t>Net Earnings 2024</t>
        </is>
      </c>
      <c r="D6" s="4" t="inlineStr">
        <is>
          <t>Diluted EPS</t>
        </is>
      </c>
      <c r="E6" s="4" t="inlineStr">
        <is>
          <t>Return on Equity</t>
        </is>
      </c>
      <c r="F6" s="4" t="inlineStr">
        <is>
          <t>Global M&amp;A Rank</t>
        </is>
      </c>
    </row>
    <row r="7" ht="28" customHeight="1">
      <c r="B7" s="5" t="inlineStr">
        <is>
          <t>$53.51 Billion</t>
        </is>
      </c>
      <c r="C7" s="5" t="inlineStr">
        <is>
          <t>$14.28 Billion</t>
        </is>
      </c>
      <c r="D7" s="5" t="inlineStr">
        <is>
          <t>$40.54 (+77% YoY)</t>
        </is>
      </c>
      <c r="E7" s="5" t="inlineStr">
        <is>
          <t>12.7% (+500bps)</t>
        </is>
      </c>
      <c r="F7" s="5" t="inlineStr">
        <is>
          <t>#1 Worldwide (36.4%)</t>
        </is>
      </c>
    </row>
    <row r="8" ht="10" customHeight="1"/>
    <row r="9" ht="16" customHeight="1">
      <c r="B9" s="6" t="inlineStr">
        <is>
          <t>STRATEGIC OVERVIEW</t>
        </is>
      </c>
    </row>
    <row r="10" ht="52" customHeight="1">
      <c r="B10" s="7" t="inlineStr">
        <is>
          <t>Goldman Sachs Group, Inc. (NYSE: GS) is the world's preeminent investment bank with 155 years of institutional history. Following a deliberate strategic pivot since 2023 — exiting consumer lending and doubling down on Global Banking &amp; Markets (GBM) and Asset &amp; Wealth Management (AWM) — GS delivered its second-best revenue result on record in FY 2024.</t>
        </is>
      </c>
    </row>
    <row r="11" ht="16" customHeight="1">
      <c r="B11" s="8" t="inlineStr">
        <is>
          <t>FINANCIAL PERFORMANCE</t>
        </is>
      </c>
    </row>
    <row r="12" ht="52" customHeight="1">
      <c r="B12" s="7" t="inlineStr">
        <is>
          <t>FY 2024: Net revenues of $53.51B (+16% YoY), net earnings of $14.28B, EPS of $40.54 (+77%), and ROE recovering to 12.7% (+500bps). Efficiency ratio improved 11.5pp to 63.1%. GBM generated record Equities revenues. AWM grew AUS to $3.1 trillion.</t>
        </is>
      </c>
    </row>
    <row r="13" ht="16" customHeight="1">
      <c r="B13" s="9" t="inlineStr">
        <is>
          <t>COMPETITIVE POSITION</t>
        </is>
      </c>
    </row>
    <row r="14" ht="52" customHeight="1">
      <c r="B14" s="7" t="inlineStr">
        <is>
          <t>#1 global M&amp;A advisor by volume for 20+ consecutive years, capturing 36.4% market share in FY 2025. Completed 40 megadeals across Americas, UK, and DACH. The Goldman brand commands premium fee pricing and attracts the world's most complex mandates.</t>
        </is>
      </c>
    </row>
    <row r="15" ht="16" customHeight="1">
      <c r="B15" s="10" t="inlineStr">
        <is>
          <t>ANALYST VERDICT</t>
        </is>
      </c>
    </row>
    <row r="16" ht="52" customHeight="1">
      <c r="B16" s="7" t="inlineStr">
        <is>
          <t>STRONG BUY / STRATEGIC PARTNER — Three-point rationale: (1) Structural earnings recovery validated across all core segments; (2) #1 M&amp;A position poised to benefit from deal-making supercycle; (3) AI-enabled efficiency creates durable margin expansion story toward sub-60% efficiency ratio. Monitor: ROE path to 14-16%, Basel III capital, and macro sensitivity.</t>
        </is>
      </c>
    </row>
    <row r="18" ht="16" customHeight="1">
      <c r="B18" s="11" t="inlineStr">
        <is>
          <t>FINAL SCORECARD SUMMARY (1–10 SCALE)</t>
        </is>
      </c>
    </row>
    <row r="19" ht="16" customHeight="1">
      <c r="B19" s="12" t="inlineStr">
        <is>
          <t>Financial Health</t>
        </is>
      </c>
      <c r="C19" s="13" t="n"/>
      <c r="D19" s="13" t="n"/>
      <c r="E19" s="13" t="n"/>
      <c r="F19" s="13" t="n"/>
      <c r="G19" s="13" t="n"/>
      <c r="H19" s="13" t="n"/>
      <c r="I19" s="13" t="n"/>
      <c r="J19" s="13" t="n"/>
      <c r="K19" s="14" t="n"/>
      <c r="L19" s="14" t="n"/>
      <c r="M19" s="15" t="inlineStr">
        <is>
          <t>8.2/10</t>
        </is>
      </c>
    </row>
    <row r="20" ht="16" customHeight="1">
      <c r="B20" s="16" t="inlineStr">
        <is>
          <t>Market Position &amp; Brand</t>
        </is>
      </c>
      <c r="C20" s="17" t="n"/>
      <c r="D20" s="17" t="n"/>
      <c r="E20" s="17" t="n"/>
      <c r="F20" s="17" t="n"/>
      <c r="G20" s="17" t="n"/>
      <c r="H20" s="17" t="n"/>
      <c r="I20" s="17" t="n"/>
      <c r="J20" s="17" t="n"/>
      <c r="K20" s="17" t="n"/>
      <c r="L20" s="14" t="n"/>
      <c r="M20" s="18" t="inlineStr">
        <is>
          <t>9.5/10</t>
        </is>
      </c>
    </row>
    <row r="21" ht="16" customHeight="1">
      <c r="B21" s="12" t="inlineStr">
        <is>
          <t>Revenue Quality &amp; Mix</t>
        </is>
      </c>
      <c r="C21" s="13" t="n"/>
      <c r="D21" s="13" t="n"/>
      <c r="E21" s="13" t="n"/>
      <c r="F21" s="13" t="n"/>
      <c r="G21" s="13" t="n"/>
      <c r="H21" s="13" t="n"/>
      <c r="I21" s="13" t="n"/>
      <c r="J21" s="14" t="n"/>
      <c r="K21" s="14" t="n"/>
      <c r="L21" s="14" t="n"/>
      <c r="M21" s="15" t="inlineStr">
        <is>
          <t>7.8/10</t>
        </is>
      </c>
    </row>
    <row r="22" ht="16" customHeight="1">
      <c r="B22" s="16" t="inlineStr">
        <is>
          <t>Growth Potential (2025-27)</t>
        </is>
      </c>
      <c r="C22" s="19" t="n"/>
      <c r="D22" s="19" t="n"/>
      <c r="E22" s="19" t="n"/>
      <c r="F22" s="19" t="n"/>
      <c r="G22" s="19" t="n"/>
      <c r="H22" s="19" t="n"/>
      <c r="I22" s="19" t="n"/>
      <c r="J22" s="19" t="n"/>
      <c r="K22" s="14" t="n"/>
      <c r="L22" s="14" t="n"/>
      <c r="M22" s="20" t="inlineStr">
        <is>
          <t>8.5/10</t>
        </is>
      </c>
    </row>
    <row r="23" ht="16" customHeight="1">
      <c r="B23" s="12" t="inlineStr">
        <is>
          <t>Operational Efficiency</t>
        </is>
      </c>
      <c r="C23" s="21" t="n"/>
      <c r="D23" s="21" t="n"/>
      <c r="E23" s="21" t="n"/>
      <c r="F23" s="21" t="n"/>
      <c r="G23" s="21" t="n"/>
      <c r="H23" s="21" t="n"/>
      <c r="I23" s="21" t="n"/>
      <c r="J23" s="14" t="n"/>
      <c r="K23" s="14" t="n"/>
      <c r="L23" s="14" t="n"/>
      <c r="M23" s="22" t="inlineStr">
        <is>
          <t>7.5/10</t>
        </is>
      </c>
    </row>
    <row r="24" ht="16" customHeight="1">
      <c r="B24" s="16" t="inlineStr">
        <is>
          <t>Competitive Moat</t>
        </is>
      </c>
      <c r="C24" s="17" t="n"/>
      <c r="D24" s="17" t="n"/>
      <c r="E24" s="17" t="n"/>
      <c r="F24" s="17" t="n"/>
      <c r="G24" s="17" t="n"/>
      <c r="H24" s="17" t="n"/>
      <c r="I24" s="17" t="n"/>
      <c r="J24" s="17" t="n"/>
      <c r="K24" s="17" t="n"/>
      <c r="L24" s="14" t="n"/>
      <c r="M24" s="18" t="inlineStr">
        <is>
          <t>9.0/10</t>
        </is>
      </c>
    </row>
    <row r="25" ht="16" customHeight="1">
      <c r="B25" s="12" t="inlineStr">
        <is>
          <t>Risk Profile</t>
        </is>
      </c>
      <c r="C25" s="21" t="n"/>
      <c r="D25" s="21" t="n"/>
      <c r="E25" s="21" t="n"/>
      <c r="F25" s="21" t="n"/>
      <c r="G25" s="21" t="n"/>
      <c r="H25" s="21" t="n"/>
      <c r="I25" s="14" t="n"/>
      <c r="J25" s="14" t="n"/>
      <c r="K25" s="14" t="n"/>
      <c r="L25" s="14" t="n"/>
      <c r="M25" s="22" t="inlineStr">
        <is>
          <t>6.5/10</t>
        </is>
      </c>
    </row>
    <row r="26" ht="16" customHeight="1">
      <c r="B26" s="16" t="inlineStr">
        <is>
          <t>ESG &amp; Regulatory Posture</t>
        </is>
      </c>
      <c r="C26" s="21" t="n"/>
      <c r="D26" s="21" t="n"/>
      <c r="E26" s="21" t="n"/>
      <c r="F26" s="21" t="n"/>
      <c r="G26" s="21" t="n"/>
      <c r="H26" s="21" t="n"/>
      <c r="I26" s="14" t="n"/>
      <c r="J26" s="14" t="n"/>
      <c r="K26" s="14" t="n"/>
      <c r="L26" s="14" t="n"/>
      <c r="M26" s="23" t="inlineStr">
        <is>
          <t>6.8/10</t>
        </is>
      </c>
    </row>
    <row r="27" ht="16" customHeight="1">
      <c r="B27" s="12" t="inlineStr">
        <is>
          <t>Leadership &amp; Culture</t>
        </is>
      </c>
      <c r="C27" s="13" t="n"/>
      <c r="D27" s="13" t="n"/>
      <c r="E27" s="13" t="n"/>
      <c r="F27" s="13" t="n"/>
      <c r="G27" s="13" t="n"/>
      <c r="H27" s="13" t="n"/>
      <c r="I27" s="13" t="n"/>
      <c r="J27" s="13" t="n"/>
      <c r="K27" s="14" t="n"/>
      <c r="L27" s="14" t="n"/>
      <c r="M27" s="15" t="inlineStr">
        <is>
          <t>8.0/10</t>
        </is>
      </c>
    </row>
    <row r="28" ht="16" customHeight="1">
      <c r="B28" s="24" t="inlineStr">
        <is>
          <t>OVERALL ANALYST RATING</t>
        </is>
      </c>
      <c r="C28" s="13" t="n"/>
      <c r="D28" s="13" t="n"/>
      <c r="E28" s="13" t="n"/>
      <c r="F28" s="13" t="n"/>
      <c r="G28" s="13" t="n"/>
      <c r="H28" s="13" t="n"/>
      <c r="I28" s="13" t="n"/>
      <c r="J28" s="13" t="n"/>
      <c r="K28" s="14" t="n"/>
      <c r="L28" s="14" t="n"/>
      <c r="M28" s="25" t="inlineStr">
        <is>
          <t>8.2/10</t>
        </is>
      </c>
    </row>
  </sheetData>
  <mergeCells count="12">
    <mergeCell ref="B4:F4"/>
    <mergeCell ref="B12:F12"/>
    <mergeCell ref="B2:F2"/>
    <mergeCell ref="B16:F16"/>
    <mergeCell ref="B15:F15"/>
    <mergeCell ref="B10:F10"/>
    <mergeCell ref="B11:F11"/>
    <mergeCell ref="B18:F18"/>
    <mergeCell ref="B3:F3"/>
    <mergeCell ref="B14:F14"/>
    <mergeCell ref="B9:F9"/>
    <mergeCell ref="B13:F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G32"/>
  <sheetViews>
    <sheetView showGridLines="0" workbookViewId="0">
      <selection activeCell="A1" sqref="A1"/>
    </sheetView>
  </sheetViews>
  <sheetFormatPr baseColWidth="8" defaultRowHeight="15"/>
  <cols>
    <col width="2" customWidth="1" min="1" max="1"/>
    <col width="32" customWidth="1" min="2" max="2"/>
    <col width="16" customWidth="1" min="3" max="3"/>
    <col width="16" customWidth="1" min="4" max="4"/>
    <col width="16" customWidth="1" min="5" max="5"/>
    <col width="16" customWidth="1" min="6" max="6"/>
    <col width="20" customWidth="1" min="7" max="7"/>
    <col width="2" customWidth="1" min="8" max="8"/>
  </cols>
  <sheetData>
    <row r="1">
      <c r="B1" s="26" t="inlineStr">
        <is>
          <t>FINANCIAL PERFORMANCE ANALYSIS — GOLDMAN SACHS GROUP, INC.</t>
        </is>
      </c>
    </row>
    <row r="2">
      <c r="B2" s="27" t="inlineStr">
        <is>
          <t>Revenue Trends | Profitability Ratios | Capital Structure | Cash Flow Health | FY 2022–2024</t>
        </is>
      </c>
    </row>
    <row r="4">
      <c r="B4" s="28" t="inlineStr">
        <is>
          <t>REVENUE TREND ANALYSIS (FY 2022–2024)</t>
        </is>
      </c>
    </row>
    <row r="5">
      <c r="B5" s="29" t="inlineStr">
        <is>
          <t>Metric</t>
        </is>
      </c>
      <c r="C5" s="29" t="inlineStr">
        <is>
          <t>FY 2022</t>
        </is>
      </c>
      <c r="D5" s="29" t="inlineStr">
        <is>
          <t>FY 2023</t>
        </is>
      </c>
      <c r="E5" s="29" t="inlineStr">
        <is>
          <t>FY 2024</t>
        </is>
      </c>
      <c r="F5" s="29" t="inlineStr">
        <is>
          <t>YoY Change</t>
        </is>
      </c>
      <c r="G5" s="29" t="inlineStr">
        <is>
          <t>Signal</t>
        </is>
      </c>
    </row>
    <row r="6">
      <c r="B6" s="30" t="inlineStr">
        <is>
          <t>Net Revenues ($B)</t>
        </is>
      </c>
      <c r="C6" s="31" t="n">
        <v>47.4</v>
      </c>
      <c r="D6" s="31" t="n">
        <v>46.3</v>
      </c>
      <c r="E6" s="32" t="n">
        <v>53.51</v>
      </c>
      <c r="F6" s="33">
        <f>(E6-D6)/D6</f>
        <v/>
      </c>
      <c r="G6" s="15" t="inlineStr">
        <is>
          <t>GREEN ✓</t>
        </is>
      </c>
    </row>
    <row r="7">
      <c r="B7" s="34" t="inlineStr">
        <is>
          <t>Net Earnings ($B)</t>
        </is>
      </c>
      <c r="C7" s="35" t="n">
        <v>11.3</v>
      </c>
      <c r="D7" s="35" t="n">
        <v>8.5</v>
      </c>
      <c r="E7" s="36" t="n">
        <v>14.28</v>
      </c>
      <c r="F7" s="37">
        <f>(E7-D7)/D7</f>
        <v/>
      </c>
      <c r="G7" s="25" t="inlineStr">
        <is>
          <t>GREEN ✓</t>
        </is>
      </c>
    </row>
    <row r="8">
      <c r="B8" s="30" t="inlineStr">
        <is>
          <t>Diluted EPS ($)</t>
        </is>
      </c>
      <c r="C8" s="31" t="n">
        <v>30.06</v>
      </c>
      <c r="D8" s="31" t="n">
        <v>22.87</v>
      </c>
      <c r="E8" s="32" t="n">
        <v>40.54</v>
      </c>
      <c r="F8" s="33">
        <f>(E8-D8)/D8</f>
        <v/>
      </c>
      <c r="G8" s="15" t="inlineStr">
        <is>
          <t>GREEN ✓</t>
        </is>
      </c>
    </row>
    <row r="9">
      <c r="B9" s="34" t="inlineStr">
        <is>
          <t>Return on Equity (%)</t>
        </is>
      </c>
      <c r="C9" s="35" t="n">
        <v>10.2</v>
      </c>
      <c r="D9" s="35" t="n">
        <v>7.5</v>
      </c>
      <c r="E9" s="36" t="n">
        <v>12.7</v>
      </c>
      <c r="F9" s="38">
        <f>E9-D9</f>
        <v/>
      </c>
      <c r="G9" s="25" t="inlineStr">
        <is>
          <t>GREEN ✓</t>
        </is>
      </c>
    </row>
    <row r="10">
      <c r="B10" s="30" t="inlineStr">
        <is>
          <t>Efficiency Ratio (%)</t>
        </is>
      </c>
      <c r="C10" s="31" t="n">
        <v>74.59999999999999</v>
      </c>
      <c r="D10" s="31" t="n">
        <v>79.09999999999999</v>
      </c>
      <c r="E10" s="32" t="n">
        <v>63.1</v>
      </c>
      <c r="F10" s="39">
        <f>E10-D10</f>
        <v/>
      </c>
      <c r="G10" s="15" t="inlineStr">
        <is>
          <t>GREEN ✓</t>
        </is>
      </c>
    </row>
    <row r="11">
      <c r="B11" s="34" t="inlineStr">
        <is>
          <t>Compensation &amp; Benefits ($B)</t>
        </is>
      </c>
      <c r="C11" s="35" t="n">
        <v>15.1</v>
      </c>
      <c r="D11" s="35" t="n">
        <v>15</v>
      </c>
      <c r="E11" s="40" t="n">
        <v>21</v>
      </c>
      <c r="F11" s="41">
        <f>E11-D11</f>
        <v/>
      </c>
      <c r="G11" s="23" t="inlineStr">
        <is>
          <t>NEUTRAL</t>
        </is>
      </c>
    </row>
    <row r="12">
      <c r="B12" s="30" t="inlineStr">
        <is>
          <t>Total Assets ($T)</t>
        </is>
      </c>
      <c r="C12" s="31" t="n">
        <v>1.44</v>
      </c>
      <c r="D12" s="31" t="n">
        <v>1.64</v>
      </c>
      <c r="E12" s="42" t="n">
        <v>1.68</v>
      </c>
      <c r="F12" s="43">
        <f>E12-D12</f>
        <v/>
      </c>
      <c r="G12" s="22" t="inlineStr">
        <is>
          <t>NEUTRAL</t>
        </is>
      </c>
    </row>
    <row r="14">
      <c r="B14" s="28" t="inlineStr">
        <is>
          <t>PROFITABILITY RATIOS &amp; CAPITAL STRUCTURE</t>
        </is>
      </c>
    </row>
    <row r="15">
      <c r="B15" s="29" t="inlineStr">
        <is>
          <t>Ratio / Metric</t>
        </is>
      </c>
      <c r="C15" s="29" t="inlineStr">
        <is>
          <t>FY 2024 Value</t>
        </is>
      </c>
      <c r="D15" s="29" t="inlineStr">
        <is>
          <t>Benchmark / Target</t>
        </is>
      </c>
      <c r="E15" s="44" t="n"/>
      <c r="F15" s="29" t="inlineStr">
        <is>
          <t>Signal</t>
        </is>
      </c>
    </row>
    <row r="16">
      <c r="B16" s="30" t="inlineStr">
        <is>
          <t>Net Margin (Net Earnings / Revenue)</t>
        </is>
      </c>
      <c r="C16" s="32" t="inlineStr">
        <is>
          <t>26.7%</t>
        </is>
      </c>
      <c r="D16" s="45" t="inlineStr">
        <is>
          <t>Peer avg ~22%</t>
        </is>
      </c>
      <c r="E16" s="46" t="n"/>
      <c r="F16" s="15" t="inlineStr">
        <is>
          <t>GREEN ✓</t>
        </is>
      </c>
    </row>
    <row r="17">
      <c r="B17" s="34" t="inlineStr">
        <is>
          <t>EBITDA Margin (est.)</t>
        </is>
      </c>
      <c r="C17" s="36" t="inlineStr">
        <is>
          <t>~36–38%</t>
        </is>
      </c>
      <c r="D17" s="47" t="inlineStr">
        <is>
          <t>Peer avg ~32%</t>
        </is>
      </c>
      <c r="E17" s="48" t="n"/>
      <c r="F17" s="25" t="inlineStr">
        <is>
          <t>GREEN ✓</t>
        </is>
      </c>
    </row>
    <row r="18">
      <c r="B18" s="30" t="inlineStr">
        <is>
          <t>Return on Equity (ROE)</t>
        </is>
      </c>
      <c r="C18" s="49" t="inlineStr">
        <is>
          <t>12.7%</t>
        </is>
      </c>
      <c r="D18" s="45" t="inlineStr">
        <is>
          <t>Target 14–16%</t>
        </is>
      </c>
      <c r="E18" s="46" t="n"/>
      <c r="F18" s="22" t="inlineStr">
        <is>
          <t>AMBER ⚠</t>
        </is>
      </c>
    </row>
    <row r="19">
      <c r="B19" s="34" t="inlineStr">
        <is>
          <t>Return on Assets (ROA)</t>
        </is>
      </c>
      <c r="C19" s="36" t="inlineStr">
        <is>
          <t>~0.94%</t>
        </is>
      </c>
      <c r="D19" s="47" t="inlineStr">
        <is>
          <t>Peer avg ~0.85%</t>
        </is>
      </c>
      <c r="E19" s="48" t="n"/>
      <c r="F19" s="25" t="inlineStr">
        <is>
          <t>GREEN ✓</t>
        </is>
      </c>
    </row>
    <row r="20">
      <c r="B20" s="30" t="inlineStr">
        <is>
          <t>CET1 Capital Ratio</t>
        </is>
      </c>
      <c r="C20" s="32" t="inlineStr">
        <is>
          <t>14.5%</t>
        </is>
      </c>
      <c r="D20" s="45" t="inlineStr">
        <is>
          <t>Regulatory req. 13.9%</t>
        </is>
      </c>
      <c r="E20" s="46" t="n"/>
      <c r="F20" s="15" t="inlineStr">
        <is>
          <t>GREEN ✓</t>
        </is>
      </c>
    </row>
    <row r="21">
      <c r="B21" s="34" t="inlineStr">
        <is>
          <t>Debt-to-Equity Ratio</t>
        </is>
      </c>
      <c r="C21" s="50" t="inlineStr">
        <is>
          <t>~5.1x</t>
        </is>
      </c>
      <c r="D21" s="47" t="inlineStr">
        <is>
          <t>Financial sector norm</t>
        </is>
      </c>
      <c r="E21" s="48" t="n"/>
      <c r="F21" s="51" t="inlineStr">
        <is>
          <t>NEUTRAL</t>
        </is>
      </c>
    </row>
    <row r="22">
      <c r="B22" s="30" t="inlineStr">
        <is>
          <t>Efficiency Ratio</t>
        </is>
      </c>
      <c r="C22" s="49" t="inlineStr">
        <is>
          <t>63.1%</t>
        </is>
      </c>
      <c r="D22" s="45" t="inlineStr">
        <is>
          <t>Target sub-60%</t>
        </is>
      </c>
      <c r="E22" s="46" t="n"/>
      <c r="F22" s="22" t="inlineStr">
        <is>
          <t>AMBER ⚠</t>
        </is>
      </c>
    </row>
    <row r="23">
      <c r="B23" s="34" t="inlineStr">
        <is>
          <t>Price-to-Earnings (P/E)</t>
        </is>
      </c>
      <c r="C23" s="36" t="inlineStr">
        <is>
          <t>~15.9x</t>
        </is>
      </c>
      <c r="D23" s="47" t="inlineStr">
        <is>
          <t>Sector avg ~14–16x</t>
        </is>
      </c>
      <c r="E23" s="48" t="n"/>
      <c r="F23" s="25" t="inlineStr">
        <is>
          <t>GREEN ✓</t>
        </is>
      </c>
    </row>
    <row r="24">
      <c r="B24" s="30" t="inlineStr">
        <is>
          <t>Price-to-Book (P/B)</t>
        </is>
      </c>
      <c r="C24" s="32" t="inlineStr">
        <is>
          <t>~2.15x</t>
        </is>
      </c>
      <c r="D24" s="45" t="inlineStr">
        <is>
          <t>Historical avg ~1.8x</t>
        </is>
      </c>
      <c r="E24" s="46" t="n"/>
      <c r="F24" s="15" t="inlineStr">
        <is>
          <t>GREEN ✓</t>
        </is>
      </c>
    </row>
    <row r="25">
      <c r="B25" s="34" t="inlineStr">
        <is>
          <t>EPS Growth (YoY)</t>
        </is>
      </c>
      <c r="C25" s="36" t="inlineStr">
        <is>
          <t>+77%</t>
        </is>
      </c>
      <c r="D25" s="47" t="inlineStr">
        <is>
          <t>Sector avg ~25%</t>
        </is>
      </c>
      <c r="E25" s="48" t="n"/>
      <c r="F25" s="25" t="inlineStr">
        <is>
          <t>GREEN ✓</t>
        </is>
      </c>
    </row>
    <row r="27">
      <c r="B27" s="28" t="inlineStr">
        <is>
          <t>SEGMENT REVENUE BREAKDOWN (FY 2024)</t>
        </is>
      </c>
    </row>
    <row r="28">
      <c r="B28" s="29" t="inlineStr">
        <is>
          <t>Business Segment</t>
        </is>
      </c>
      <c r="C28" s="29" t="inlineStr">
        <is>
          <t>Revenue ($B)</t>
        </is>
      </c>
      <c r="D28" s="29" t="inlineStr">
        <is>
          <t>% of Total</t>
        </is>
      </c>
      <c r="E28" s="29" t="inlineStr">
        <is>
          <t>Key Drivers</t>
        </is>
      </c>
      <c r="F28" s="29" t="inlineStr">
        <is>
          <t>Trend</t>
        </is>
      </c>
    </row>
    <row r="29" ht="30" customHeight="1">
      <c r="B29" s="52" t="inlineStr">
        <is>
          <t>Global Banking &amp; Markets (GBM)</t>
        </is>
      </c>
      <c r="C29" s="53" t="n">
        <v>34.94</v>
      </c>
      <c r="D29" s="54">
        <f>C29/C32</f>
        <v/>
      </c>
      <c r="E29" s="55" t="inlineStr">
        <is>
          <t>IB fees, Equities (record), FICC, Financing</t>
        </is>
      </c>
      <c r="F29" s="15" t="inlineStr">
        <is>
          <t>▲ Growing</t>
        </is>
      </c>
    </row>
    <row r="30" ht="30" customHeight="1">
      <c r="B30" s="56" t="inlineStr">
        <is>
          <t>Asset &amp; Wealth Management (AWM)</t>
        </is>
      </c>
      <c r="C30" s="57" t="n">
        <v>16.1</v>
      </c>
      <c r="D30" s="58">
        <f>C30/C32</f>
        <v/>
      </c>
      <c r="E30" s="59" t="inlineStr">
        <is>
          <t>Mgmt fees, incentive fees, private banking, AUS $3.1T</t>
        </is>
      </c>
      <c r="F30" s="25" t="inlineStr">
        <is>
          <t>▲ Growing</t>
        </is>
      </c>
    </row>
    <row r="31" ht="30" customHeight="1">
      <c r="B31" s="52" t="inlineStr">
        <is>
          <t>Platform Solutions (winding down)</t>
        </is>
      </c>
      <c r="C31" s="60" t="n">
        <v>2.47</v>
      </c>
      <c r="D31" s="54">
        <f>C31/C32</f>
        <v/>
      </c>
      <c r="E31" s="55" t="inlineStr">
        <is>
          <t>Consumer credit (exit phase)</t>
        </is>
      </c>
      <c r="F31" s="61" t="inlineStr">
        <is>
          <t>▼ Exiting</t>
        </is>
      </c>
    </row>
    <row r="32">
      <c r="B32" s="62" t="inlineStr">
        <is>
          <t>TOTAL NET REVENUES</t>
        </is>
      </c>
      <c r="C32" s="63">
        <f>SUM(C29:C31)</f>
        <v/>
      </c>
      <c r="D32" s="62" t="inlineStr">
        <is>
          <t>100.0%</t>
        </is>
      </c>
      <c r="E32" s="64" t="inlineStr"/>
      <c r="F32" s="64" t="inlineStr"/>
    </row>
  </sheetData>
  <mergeCells count="16">
    <mergeCell ref="D25:E25"/>
    <mergeCell ref="B2:G2"/>
    <mergeCell ref="D20:E20"/>
    <mergeCell ref="D16:E16"/>
    <mergeCell ref="D24:E24"/>
    <mergeCell ref="B14:G14"/>
    <mergeCell ref="D15:E15"/>
    <mergeCell ref="D19:E19"/>
    <mergeCell ref="B27:G27"/>
    <mergeCell ref="B1:G1"/>
    <mergeCell ref="D23:E23"/>
    <mergeCell ref="B4:G4"/>
    <mergeCell ref="D22:E22"/>
    <mergeCell ref="D18:E18"/>
    <mergeCell ref="D17:E17"/>
    <mergeCell ref="D21:E21"/>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B1:G35"/>
  <sheetViews>
    <sheetView showGridLines="0" workbookViewId="0">
      <selection activeCell="A1" sqref="A1"/>
    </sheetView>
  </sheetViews>
  <sheetFormatPr baseColWidth="8" defaultRowHeight="15"/>
  <cols>
    <col width="2" customWidth="1" min="1" max="1"/>
    <col width="30" customWidth="1" min="2" max="2"/>
    <col width="18" customWidth="1" min="3" max="3"/>
    <col width="18" customWidth="1" min="4" max="4"/>
    <col width="18" customWidth="1" min="5" max="5"/>
    <col width="22" customWidth="1" min="6" max="6"/>
    <col width="18" customWidth="1" min="7" max="7"/>
    <col width="2" customWidth="1" min="8" max="8"/>
  </cols>
  <sheetData>
    <row r="1">
      <c r="B1" s="26" t="inlineStr">
        <is>
          <t>MARKET &amp; COMPETITIVE ANALYSIS</t>
        </is>
      </c>
    </row>
    <row r="2">
      <c r="B2" s="27" t="inlineStr">
        <is>
          <t>TAM/SAM/SOM | Porter's Five Forces | Competitor Benchmarking | BCG Matrix</t>
        </is>
      </c>
    </row>
    <row r="4">
      <c r="B4" s="28" t="inlineStr">
        <is>
          <t>MARKET SIZING ANALYSIS</t>
        </is>
      </c>
    </row>
    <row r="5">
      <c r="B5" s="29" t="inlineStr">
        <is>
          <t>Market Level</t>
        </is>
      </c>
      <c r="C5" s="29" t="inlineStr">
        <is>
          <t>Definition</t>
        </is>
      </c>
      <c r="D5" s="29" t="inlineStr">
        <is>
          <t>Size (2024)</t>
        </is>
      </c>
      <c r="E5" s="29" t="inlineStr">
        <is>
          <t>Growth Rate</t>
        </is>
      </c>
      <c r="F5" s="29" t="inlineStr">
        <is>
          <t>GS Position</t>
        </is>
      </c>
      <c r="G5" s="29" t="inlineStr">
        <is>
          <t>Signal</t>
        </is>
      </c>
    </row>
    <row r="6" ht="28" customHeight="1">
      <c r="B6" s="52" t="inlineStr">
        <is>
          <t>TAM — Global IB Industry</t>
        </is>
      </c>
      <c r="C6" s="55" t="inlineStr">
        <is>
          <t>All investment banking globally</t>
        </is>
      </c>
      <c r="D6" s="32" t="inlineStr">
        <is>
          <t>$103.2B</t>
        </is>
      </c>
      <c r="E6" s="55" t="inlineStr">
        <is>
          <t>7.55% CAGR → $183.3B by 2032</t>
        </is>
      </c>
      <c r="F6" s="65" t="inlineStr">
        <is>
          <t>#1 participant (GBM)</t>
        </is>
      </c>
      <c r="G6" s="15" t="inlineStr">
        <is>
          <t>✓ GREEN</t>
        </is>
      </c>
    </row>
    <row r="7" ht="28" customHeight="1">
      <c r="B7" s="56" t="inlineStr">
        <is>
          <t>TAM — Asset Management</t>
        </is>
      </c>
      <c r="C7" s="59" t="inlineStr">
        <is>
          <t>Global AUM market</t>
        </is>
      </c>
      <c r="D7" s="36" t="inlineStr">
        <is>
          <t>$150T+ AUM</t>
        </is>
      </c>
      <c r="E7" s="59" t="inlineStr">
        <is>
          <t>~7% CAGR</t>
        </is>
      </c>
      <c r="F7" s="66" t="inlineStr">
        <is>
          <t>Top 10 by AUS ($3.1T)</t>
        </is>
      </c>
      <c r="G7" s="25" t="inlineStr">
        <is>
          <t>✓ GREEN</t>
        </is>
      </c>
    </row>
    <row r="8" ht="28" customHeight="1">
      <c r="B8" s="52" t="inlineStr">
        <is>
          <t>SAM — Tier-1 IB Segment</t>
        </is>
      </c>
      <c r="C8" s="55" t="inlineStr">
        <is>
          <t>Complex institutional deals only</t>
        </is>
      </c>
      <c r="D8" s="32" t="inlineStr">
        <is>
          <t>~$60–70B</t>
        </is>
      </c>
      <c r="E8" s="55" t="inlineStr">
        <is>
          <t>IB recovery YoY</t>
        </is>
      </c>
      <c r="F8" s="65" t="inlineStr">
        <is>
          <t>Core addressable market</t>
        </is>
      </c>
      <c r="G8" s="15" t="inlineStr">
        <is>
          <t>✓ GREEN</t>
        </is>
      </c>
    </row>
    <row r="9" ht="28" customHeight="1">
      <c r="B9" s="56" t="inlineStr">
        <is>
          <t>SOM — GS Current Capture</t>
        </is>
      </c>
      <c r="C9" s="59" t="inlineStr">
        <is>
          <t>GS actual revenues captured</t>
        </is>
      </c>
      <c r="D9" s="36" t="inlineStr">
        <is>
          <t>$34.94B (GBM)</t>
        </is>
      </c>
      <c r="E9" s="59" t="inlineStr">
        <is>
          <t>~+16% YoY</t>
        </is>
      </c>
      <c r="F9" s="66" t="inlineStr">
        <is>
          <t>36.4% M&amp;A share</t>
        </is>
      </c>
      <c r="G9" s="25" t="inlineStr">
        <is>
          <t>✓ GREEN</t>
        </is>
      </c>
    </row>
    <row r="10" ht="28" customHeight="1">
      <c r="B10" s="52" t="inlineStr">
        <is>
          <t>North America Market</t>
        </is>
      </c>
      <c r="C10" s="55" t="inlineStr">
        <is>
          <t>GS primary revenue geography</t>
        </is>
      </c>
      <c r="D10" s="32" t="inlineStr">
        <is>
          <t>~60% of revenues</t>
        </is>
      </c>
      <c r="E10" s="55" t="inlineStr">
        <is>
          <t>GDP + rate cycle dependent</t>
        </is>
      </c>
      <c r="F10" s="65" t="inlineStr">
        <is>
          <t>Dominant</t>
        </is>
      </c>
      <c r="G10" s="15" t="inlineStr">
        <is>
          <t>✓ GREEN</t>
        </is>
      </c>
    </row>
    <row r="12">
      <c r="B12" s="28" t="inlineStr">
        <is>
          <t>PORTER'S FIVE FORCES ANALYSIS</t>
        </is>
      </c>
    </row>
    <row r="13">
      <c r="B13" s="29" t="inlineStr">
        <is>
          <t>Force</t>
        </is>
      </c>
      <c r="C13" s="29" t="inlineStr">
        <is>
          <t>Rating</t>
        </is>
      </c>
      <c r="D13" s="29" t="inlineStr">
        <is>
          <t>Key Factors</t>
        </is>
      </c>
      <c r="E13" s="44" t="n"/>
      <c r="F13" s="29" t="inlineStr">
        <is>
          <t>Signal</t>
        </is>
      </c>
    </row>
    <row r="14" ht="34" customHeight="1">
      <c r="B14" s="52" t="inlineStr">
        <is>
          <t>Threat of New Entrants</t>
        </is>
      </c>
      <c r="C14" s="32" t="inlineStr">
        <is>
          <t>LOW</t>
        </is>
      </c>
      <c r="D14" s="55" t="inlineStr">
        <is>
          <t>Regulatory barriers, capital req., brand lock-in, BHC Act compliance</t>
        </is>
      </c>
      <c r="E14" s="46" t="n"/>
      <c r="F14" s="15" t="inlineStr">
        <is>
          <t>FAVOURABLE ✓</t>
        </is>
      </c>
    </row>
    <row r="15" ht="34" customHeight="1">
      <c r="B15" s="56" t="inlineStr">
        <is>
          <t>Supplier Power (Talent)</t>
        </is>
      </c>
      <c r="C15" s="67" t="inlineStr">
        <is>
          <t>MEDIUM</t>
        </is>
      </c>
      <c r="D15" s="59" t="inlineStr">
        <is>
          <t>Elite talent highly sought by PE, HF; comp costs rising ~$21B+/yr</t>
        </is>
      </c>
      <c r="E15" s="48" t="n"/>
      <c r="F15" s="23" t="inlineStr">
        <is>
          <t>WATCH ⚠</t>
        </is>
      </c>
    </row>
    <row r="16" ht="34" customHeight="1">
      <c r="B16" s="52" t="inlineStr">
        <is>
          <t>Buyer Power (Clients)</t>
        </is>
      </c>
      <c r="C16" s="49" t="inlineStr">
        <is>
          <t>MEDIUM-HIGH</t>
        </is>
      </c>
      <c r="D16" s="55" t="inlineStr">
        <is>
          <t>Large institutions negotiate fees; boutiques offer conflict-free advice</t>
        </is>
      </c>
      <c r="E16" s="46" t="n"/>
      <c r="F16" s="22" t="inlineStr">
        <is>
          <t>WATCH ⚠</t>
        </is>
      </c>
    </row>
    <row r="17" ht="34" customHeight="1">
      <c r="B17" s="56" t="inlineStr">
        <is>
          <t>Threat of Substitutes</t>
        </is>
      </c>
      <c r="C17" s="67" t="inlineStr">
        <is>
          <t>LOW-MEDIUM</t>
        </is>
      </c>
      <c r="D17" s="59" t="inlineStr">
        <is>
          <t>Boutiques for M&amp;A advisory; ETFs for AM; algo trading for execution</t>
        </is>
      </c>
      <c r="E17" s="48" t="n"/>
      <c r="F17" s="23" t="inlineStr">
        <is>
          <t>NEUTRAL</t>
        </is>
      </c>
    </row>
    <row r="18" ht="34" customHeight="1">
      <c r="B18" s="52" t="inlineStr">
        <is>
          <t>Competitive Rivalry</t>
        </is>
      </c>
      <c r="C18" s="68" t="inlineStr">
        <is>
          <t>HIGH</t>
        </is>
      </c>
      <c r="D18" s="55" t="inlineStr">
        <is>
          <t>JPMorgan, Morgan Stanley, BofA, Barclays, boutiques all intensely competing</t>
        </is>
      </c>
      <c r="E18" s="46" t="n"/>
      <c r="F18" s="61" t="inlineStr">
        <is>
          <t>RISK ✗</t>
        </is>
      </c>
    </row>
    <row r="20">
      <c r="B20" s="28" t="inlineStr">
        <is>
          <t>COMPETITOR BENCHMARKING</t>
        </is>
      </c>
    </row>
    <row r="21">
      <c r="B21" s="29" t="inlineStr">
        <is>
          <t>Institution</t>
        </is>
      </c>
      <c r="C21" s="29" t="inlineStr">
        <is>
          <t>Revenue (2024)</t>
        </is>
      </c>
      <c r="D21" s="29" t="inlineStr">
        <is>
          <t>M&amp;A Ranking</t>
        </is>
      </c>
      <c r="E21" s="29" t="inlineStr">
        <is>
          <t>Wealth AUM</t>
        </is>
      </c>
      <c r="F21" s="29" t="inlineStr">
        <is>
          <t>Key Advantage</t>
        </is>
      </c>
      <c r="G21" s="29" t="inlineStr">
        <is>
          <t>vs. Goldman</t>
        </is>
      </c>
    </row>
    <row r="22">
      <c r="B22" s="52" t="inlineStr">
        <is>
          <t>Goldman Sachs ★</t>
        </is>
      </c>
      <c r="C22" s="31" t="inlineStr">
        <is>
          <t>$53.5B</t>
        </is>
      </c>
      <c r="D22" s="31" t="inlineStr">
        <is>
          <t>#1 (36.4% share)</t>
        </is>
      </c>
      <c r="E22" s="31" t="inlineStr">
        <is>
          <t>$3.1T AUS</t>
        </is>
      </c>
      <c r="F22" s="65" t="inlineStr">
        <is>
          <t>M&amp;A brand, Equities, AI trading</t>
        </is>
      </c>
      <c r="G22" s="69" t="inlineStr">
        <is>
          <t>BENCHMARK</t>
        </is>
      </c>
    </row>
    <row r="23">
      <c r="B23" s="70" t="inlineStr">
        <is>
          <t>JPMorgan Chase</t>
        </is>
      </c>
      <c r="C23" s="35" t="inlineStr">
        <is>
          <t>$127.2B+</t>
        </is>
      </c>
      <c r="D23" s="35" t="inlineStr">
        <is>
          <t>#2 Global</t>
        </is>
      </c>
      <c r="E23" s="35" t="inlineStr">
        <is>
          <t>~$3.5T</t>
        </is>
      </c>
      <c r="F23" s="66" t="inlineStr">
        <is>
          <t>Universal bank scale, retail deposits</t>
        </is>
      </c>
      <c r="G23" s="23" t="inlineStr">
        <is>
          <t>LARGER SCALE</t>
        </is>
      </c>
    </row>
    <row r="24">
      <c r="B24" s="71" t="inlineStr">
        <is>
          <t>Morgan Stanley</t>
        </is>
      </c>
      <c r="C24" s="31" t="inlineStr">
        <is>
          <t>~$55B</t>
        </is>
      </c>
      <c r="D24" s="31" t="inlineStr">
        <is>
          <t>Top 3 Global</t>
        </is>
      </c>
      <c r="E24" s="31" t="inlineStr">
        <is>
          <t>$5.8T+</t>
        </is>
      </c>
      <c r="F24" s="65" t="inlineStr">
        <is>
          <t>Wealth management dominance</t>
        </is>
      </c>
      <c r="G24" s="22" t="inlineStr">
        <is>
          <t>WEALTH EDGE</t>
        </is>
      </c>
    </row>
    <row r="25">
      <c r="B25" s="72" t="inlineStr">
        <is>
          <t>Bank of America</t>
        </is>
      </c>
      <c r="C25" s="35" t="inlineStr">
        <is>
          <t>~$90B</t>
        </is>
      </c>
      <c r="D25" s="35" t="inlineStr">
        <is>
          <t>Top 5 Global</t>
        </is>
      </c>
      <c r="E25" s="35" t="inlineStr">
        <is>
          <t>$4T+</t>
        </is>
      </c>
      <c r="F25" s="66" t="inlineStr">
        <is>
          <t>Consumer banking + IB cross-sell</t>
        </is>
      </c>
      <c r="G25" s="73" t="inlineStr">
        <is>
          <t>BROADER BASE</t>
        </is>
      </c>
    </row>
    <row r="26">
      <c r="B26" s="74" t="inlineStr">
        <is>
          <t>Barclays</t>
        </is>
      </c>
      <c r="C26" s="31" t="inlineStr">
        <is>
          <t>~$25B</t>
        </is>
      </c>
      <c r="D26" s="31" t="inlineStr">
        <is>
          <t>Top 10 EMEA</t>
        </is>
      </c>
      <c r="E26" s="31" t="inlineStr">
        <is>
          <t>$1T+</t>
        </is>
      </c>
      <c r="F26" s="65" t="inlineStr">
        <is>
          <t>FICC, UK/EMEA M&amp;A strength</t>
        </is>
      </c>
      <c r="G26" s="75" t="inlineStr">
        <is>
          <t>REGIONAL</t>
        </is>
      </c>
    </row>
    <row r="27">
      <c r="B27" s="76" t="inlineStr">
        <is>
          <t>Evercore / Lazard</t>
        </is>
      </c>
      <c r="C27" s="35" t="inlineStr">
        <is>
          <t>~$2–3B</t>
        </is>
      </c>
      <c r="D27" s="35" t="inlineStr">
        <is>
          <t>Boutique Top</t>
        </is>
      </c>
      <c r="E27" s="35" t="inlineStr">
        <is>
          <t>N/A</t>
        </is>
      </c>
      <c r="F27" s="66" t="inlineStr">
        <is>
          <t>Conflict-free advisory, niche mandates</t>
        </is>
      </c>
      <c r="G27" s="51" t="inlineStr">
        <is>
          <t>NICHE</t>
        </is>
      </c>
    </row>
    <row r="29">
      <c r="B29" s="28" t="inlineStr">
        <is>
          <t>BCG MATRIX — GOLDMAN SACHS BUSINESS SEGMENTS</t>
        </is>
      </c>
    </row>
    <row r="30">
      <c r="B30" s="29" t="inlineStr">
        <is>
          <t>Segment</t>
        </is>
      </c>
      <c r="C30" s="29" t="inlineStr">
        <is>
          <t>BCG Category</t>
        </is>
      </c>
      <c r="D30" s="29" t="inlineStr">
        <is>
          <t>Market Share</t>
        </is>
      </c>
      <c r="E30" s="29" t="inlineStr">
        <is>
          <t>Growth Rate</t>
        </is>
      </c>
      <c r="F30" s="29" t="inlineStr">
        <is>
          <t>Rationale</t>
        </is>
      </c>
      <c r="G30" s="29" t="inlineStr">
        <is>
          <t>Priority</t>
        </is>
      </c>
    </row>
    <row r="31" ht="30" customHeight="1">
      <c r="B31" s="52" t="inlineStr">
        <is>
          <t>Global Banking &amp; Markets</t>
        </is>
      </c>
      <c r="C31" s="15" t="inlineStr">
        <is>
          <t>⭐ STAR</t>
        </is>
      </c>
      <c r="D31" s="77" t="inlineStr">
        <is>
          <t>HIGH (#1 M&amp;A)</t>
        </is>
      </c>
      <c r="E31" s="77" t="inlineStr">
        <is>
          <t>HIGH (IB revival)</t>
        </is>
      </c>
      <c r="F31" s="55" t="inlineStr">
        <is>
          <t>High share, high growth — invest heavily</t>
        </is>
      </c>
      <c r="G31" s="15" t="inlineStr">
        <is>
          <t>INVEST</t>
        </is>
      </c>
    </row>
    <row r="32" ht="30" customHeight="1">
      <c r="B32" s="56" t="inlineStr">
        <is>
          <t>Asset &amp; Wealth Management</t>
        </is>
      </c>
      <c r="C32" s="25" t="inlineStr">
        <is>
          <t>⭐ STAR / CASH COW</t>
        </is>
      </c>
      <c r="D32" s="78" t="inlineStr">
        <is>
          <t>HIGH ($3.1T AUS)</t>
        </is>
      </c>
      <c r="E32" s="78" t="inlineStr">
        <is>
          <t>MEDIUM-HIGH</t>
        </is>
      </c>
      <c r="F32" s="59" t="inlineStr">
        <is>
          <t>Stable fee income + scaling alternatives</t>
        </is>
      </c>
      <c r="G32" s="25" t="inlineStr">
        <is>
          <t>INVEST</t>
        </is>
      </c>
    </row>
    <row r="33" ht="30" customHeight="1">
      <c r="B33" s="52" t="inlineStr">
        <is>
          <t>Equities Financing (Record)</t>
        </is>
      </c>
      <c r="C33" s="15" t="inlineStr">
        <is>
          <t>⭐ STAR</t>
        </is>
      </c>
      <c r="D33" s="77" t="inlineStr">
        <is>
          <t>HIGH (prime brokerage)</t>
        </is>
      </c>
      <c r="E33" s="77" t="inlineStr">
        <is>
          <t>HIGH (structural)</t>
        </is>
      </c>
      <c r="F33" s="55" t="inlineStr">
        <is>
          <t>Record revenues, prime brokerage tailwind</t>
        </is>
      </c>
      <c r="G33" s="15" t="inlineStr">
        <is>
          <t>INVEST</t>
        </is>
      </c>
    </row>
    <row r="34" ht="30" customHeight="1">
      <c r="B34" s="56" t="inlineStr">
        <is>
          <t>FICC Trading</t>
        </is>
      </c>
      <c r="C34" s="23" t="inlineStr">
        <is>
          <t>💰 CASH COW</t>
        </is>
      </c>
      <c r="D34" s="78" t="inlineStr">
        <is>
          <t>HIGH (top 3 globally)</t>
        </is>
      </c>
      <c r="E34" s="78" t="inlineStr">
        <is>
          <t>LOW-MEDIUM (mature)</t>
        </is>
      </c>
      <c r="F34" s="59" t="inlineStr">
        <is>
          <t>Mature, profitable — harvest, maintain</t>
        </is>
      </c>
      <c r="G34" s="23" t="inlineStr">
        <is>
          <t>MAINTAIN</t>
        </is>
      </c>
    </row>
    <row r="35" ht="30" customHeight="1">
      <c r="B35" s="52" t="inlineStr">
        <is>
          <t>Platform Solutions (Consumer)</t>
        </is>
      </c>
      <c r="C35" s="61" t="inlineStr">
        <is>
          <t>🐕 DOG</t>
        </is>
      </c>
      <c r="D35" s="77" t="inlineStr">
        <is>
          <t>LOW</t>
        </is>
      </c>
      <c r="E35" s="77" t="inlineStr">
        <is>
          <t>LOW (exit phase)</t>
        </is>
      </c>
      <c r="F35" s="55" t="inlineStr">
        <is>
          <t>Strategic exit — divest/wind-down</t>
        </is>
      </c>
      <c r="G35" s="61" t="inlineStr">
        <is>
          <t>EXIT</t>
        </is>
      </c>
    </row>
  </sheetData>
  <mergeCells count="12">
    <mergeCell ref="B2:G2"/>
    <mergeCell ref="B20:G20"/>
    <mergeCell ref="D16:E16"/>
    <mergeCell ref="D15:E15"/>
    <mergeCell ref="D13:E13"/>
    <mergeCell ref="B1:G1"/>
    <mergeCell ref="B4:G4"/>
    <mergeCell ref="D14:E14"/>
    <mergeCell ref="B12:G12"/>
    <mergeCell ref="D18:E18"/>
    <mergeCell ref="D17:E17"/>
    <mergeCell ref="B29:G2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E29"/>
  <sheetViews>
    <sheetView showGridLines="0" workbookViewId="0">
      <selection activeCell="A1" sqref="A1"/>
    </sheetView>
  </sheetViews>
  <sheetFormatPr baseColWidth="8" defaultRowHeight="15"/>
  <cols>
    <col width="2" customWidth="1" min="1" max="1"/>
    <col width="6" customWidth="1" min="2" max="2"/>
    <col width="32" customWidth="1" min="3" max="3"/>
    <col width="6" customWidth="1" min="4" max="4"/>
    <col width="32" customWidth="1" min="5" max="5"/>
    <col width="2" customWidth="1" min="6" max="6"/>
  </cols>
  <sheetData>
    <row r="1">
      <c r="B1" s="26" t="inlineStr">
        <is>
          <t>SWOT + PESTLE ANALYSIS — GOLDMAN SACHS GROUP, INC.</t>
        </is>
      </c>
    </row>
    <row r="2">
      <c r="B2" s="27" t="inlineStr">
        <is>
          <t>Internal Strengths &amp; Weaknesses | External Opportunities &amp; Threats | Macro Environment Factors</t>
        </is>
      </c>
    </row>
    <row r="4">
      <c r="B4" s="79" t="inlineStr">
        <is>
          <t>STRENGTHS</t>
        </is>
      </c>
      <c r="C4" s="13" t="n"/>
      <c r="D4" s="80" t="inlineStr">
        <is>
          <t>WEAKNESSES</t>
        </is>
      </c>
      <c r="E4" s="81" t="n"/>
    </row>
    <row r="5" ht="20" customHeight="1">
      <c r="B5" s="82" t="inlineStr">
        <is>
          <t xml:space="preserve">  S1: #1 global M&amp;A advisory — 36.4% market share</t>
        </is>
      </c>
      <c r="C5" s="83" t="n"/>
      <c r="D5" s="84" t="inlineStr">
        <is>
          <t xml:space="preserve">  W1: ROE 12.7% — below medium-term 14-16% target</t>
        </is>
      </c>
      <c r="E5" s="85" t="n"/>
    </row>
    <row r="6" ht="20" customHeight="1">
      <c r="B6" s="86" t="inlineStr">
        <is>
          <t xml:space="preserve">  S2: Record FY 2024 — $53.5B revenue, $14.3B net earnings</t>
        </is>
      </c>
      <c r="C6" s="48" t="n"/>
      <c r="D6" s="86" t="inlineStr">
        <is>
          <t xml:space="preserve">  W2: Revenue concentration in capital markets (cyclical)</t>
        </is>
      </c>
      <c r="E6" s="48" t="n"/>
    </row>
    <row r="7" ht="20" customHeight="1">
      <c r="B7" s="82" t="inlineStr">
        <is>
          <t xml:space="preserve">  S3: 155-year brand legacy; elite talent attraction engine</t>
        </is>
      </c>
      <c r="C7" s="83" t="n"/>
      <c r="D7" s="84" t="inlineStr">
        <is>
          <t xml:space="preserve">  W3: Lower AUM than Morgan Stanley ($5.8T) in wealth</t>
        </is>
      </c>
      <c r="E7" s="85" t="n"/>
    </row>
    <row r="8" ht="20" customHeight="1">
      <c r="B8" s="86" t="inlineStr">
        <is>
          <t xml:space="preserve">  S4: $3.1 trillion AUS in AWM — fee income diversification</t>
        </is>
      </c>
      <c r="C8" s="48" t="n"/>
      <c r="D8" s="86" t="inlineStr">
        <is>
          <t xml:space="preserve">  W4: Elevated Fed Stress Capital Buffer (6.4%) — capital drag</t>
        </is>
      </c>
      <c r="E8" s="48" t="n"/>
    </row>
    <row r="9" ht="20" customHeight="1">
      <c r="B9" s="82" t="inlineStr">
        <is>
          <t xml:space="preserve">  S5: AI-powered trading (+27% intraday profitability)</t>
        </is>
      </c>
      <c r="C9" s="83" t="n"/>
      <c r="D9" s="84" t="inlineStr">
        <is>
          <t xml:space="preserve">  W5: Consumer banking retreat damaged brand in retail</t>
        </is>
      </c>
      <c r="E9" s="85" t="n"/>
    </row>
    <row r="10" ht="20" customHeight="1">
      <c r="B10" s="86" t="inlineStr">
        <is>
          <t xml:space="preserve">  S6: Successful strategic pivot away from consumer banking</t>
        </is>
      </c>
      <c r="C10" s="48" t="n"/>
      <c r="D10" s="86" t="inlineStr">
        <is>
          <t xml:space="preserve">  W6: Key-person risk: David Solomon leadership scrutiny</t>
        </is>
      </c>
      <c r="E10" s="48" t="n"/>
    </row>
    <row r="11" ht="20" customHeight="1">
      <c r="B11" s="82" t="inlineStr">
        <is>
          <t xml:space="preserve">  S7: CET1 ratio 14.5% — well capitalised above requirements</t>
        </is>
      </c>
      <c r="C11" s="83" t="n"/>
      <c r="D11" s="84" t="inlineStr">
        <is>
          <t xml:space="preserve">  W7: High comp-to-revenue ratio compresses margins</t>
        </is>
      </c>
      <c r="E11" s="85" t="n"/>
    </row>
    <row r="13">
      <c r="B13" s="87" t="inlineStr">
        <is>
          <t>OPPORTUNITIES</t>
        </is>
      </c>
      <c r="C13" s="88" t="n"/>
      <c r="D13" s="89" t="inlineStr">
        <is>
          <t>THREATS</t>
        </is>
      </c>
      <c r="E13" s="90" t="n"/>
    </row>
    <row r="14" ht="20" customHeight="1">
      <c r="B14" s="7" t="inlineStr">
        <is>
          <t xml:space="preserve">  O1: Deal-making supercycle — CEO confidence surging post-2024 election</t>
        </is>
      </c>
      <c r="C14" s="46" t="n"/>
      <c r="D14" s="91" t="inlineStr">
        <is>
          <t xml:space="preserve">  T1: Basel III capital surcharges — higher compliance costs</t>
        </is>
      </c>
      <c r="E14" s="92" t="n"/>
    </row>
    <row r="15" ht="20" customHeight="1">
      <c r="B15" s="86" t="inlineStr">
        <is>
          <t xml:space="preserve">  O2: Private credit expansion — $1.5T+ growing market</t>
        </is>
      </c>
      <c r="C15" s="48" t="n"/>
      <c r="D15" s="86" t="inlineStr">
        <is>
          <t xml:space="preserve">  T2: Macro recession risk — deals freeze in downturns</t>
        </is>
      </c>
      <c r="E15" s="48" t="n"/>
    </row>
    <row r="16" ht="20" customHeight="1">
      <c r="B16" s="7" t="inlineStr">
        <is>
          <t xml:space="preserve">  O3: AI monetisation in trading, compliance and advisory</t>
        </is>
      </c>
      <c r="C16" s="46" t="n"/>
      <c r="D16" s="91" t="inlineStr">
        <is>
          <t xml:space="preserve">  T3: Fintech disruption in trading and wealth management</t>
        </is>
      </c>
      <c r="E16" s="92" t="n"/>
    </row>
    <row r="17" ht="20" customHeight="1">
      <c r="B17" s="86" t="inlineStr">
        <is>
          <t xml:space="preserve">  O4: Regulatory deregulation trend could free capital</t>
        </is>
      </c>
      <c r="C17" s="48" t="n"/>
      <c r="D17" s="86" t="inlineStr">
        <is>
          <t xml:space="preserve">  T4: Geopolitical risk (tariffs, war) — deal hesitation</t>
        </is>
      </c>
      <c r="E17" s="48" t="n"/>
    </row>
    <row r="18" ht="20" customHeight="1">
      <c r="B18" s="7" t="inlineStr">
        <is>
          <t xml:space="preserve">  O5: Infrastructure &amp; energy transition advisory demand</t>
        </is>
      </c>
      <c r="C18" s="46" t="n"/>
      <c r="D18" s="91" t="inlineStr">
        <is>
          <t xml:space="preserve">  T5: Key talent flight to hedge funds and PE firms</t>
        </is>
      </c>
      <c r="E18" s="92" t="n"/>
    </row>
    <row r="19" ht="20" customHeight="1">
      <c r="B19" s="86" t="inlineStr">
        <is>
          <t xml:space="preserve">  O6: Sovereign wealth fund partnerships (Middle East, Asia)</t>
        </is>
      </c>
      <c r="C19" s="48" t="n"/>
      <c r="D19" s="86" t="inlineStr">
        <is>
          <t xml:space="preserve">  T6: Cybersecurity threats — growing attack surface</t>
        </is>
      </c>
      <c r="E19" s="48" t="n"/>
    </row>
    <row r="20" ht="20" customHeight="1">
      <c r="B20" s="7" t="inlineStr">
        <is>
          <t xml:space="preserve">  O7: GBM revenue forecast +5.8% CAGR through 2027</t>
        </is>
      </c>
      <c r="C20" s="46" t="n"/>
      <c r="D20" s="91" t="inlineStr">
        <is>
          <t xml:space="preserve">  T7: AI regulatory risk — evolving governance requirements</t>
        </is>
      </c>
      <c r="E20" s="92" t="n"/>
    </row>
    <row r="22">
      <c r="B22" s="28" t="inlineStr">
        <is>
          <t>PESTLE ANALYSIS</t>
        </is>
      </c>
    </row>
    <row r="23">
      <c r="B23" s="29" t="inlineStr">
        <is>
          <t>Factor</t>
        </is>
      </c>
      <c r="C23" s="29" t="inlineStr">
        <is>
          <t>Rating</t>
        </is>
      </c>
      <c r="D23" s="29" t="inlineStr">
        <is>
          <t>Key Considerations</t>
        </is>
      </c>
      <c r="E23" s="29" t="inlineStr">
        <is>
          <t>Impact on GS</t>
        </is>
      </c>
    </row>
    <row r="24" ht="44" customHeight="1">
      <c r="B24" s="29" t="inlineStr">
        <is>
          <t>Political</t>
        </is>
      </c>
      <c r="C24" s="29" t="inlineStr">
        <is>
          <t>POSITIVE</t>
        </is>
      </c>
      <c r="D24" s="55" t="inlineStr">
        <is>
          <t>Post-2024 election deregulation trend. GS CEO actively engaged with administration on regulatory reform. Tariff/trade policy uncertainty could curb international M&amp;A volumes.</t>
        </is>
      </c>
      <c r="E24" s="55" t="inlineStr">
        <is>
          <t>Net Positive: Reduced regulatory burden boosts deal confidence and capital deployment</t>
        </is>
      </c>
    </row>
    <row r="25" ht="44" customHeight="1">
      <c r="B25" s="29" t="inlineStr">
        <is>
          <t>Economic</t>
        </is>
      </c>
      <c r="C25" s="29" t="inlineStr">
        <is>
          <t>POSITIVE</t>
        </is>
      </c>
      <c r="D25" s="59" t="inlineStr">
        <is>
          <t>Fed rate cuts underway, stimulating deal activity. GS forecasts 5.8% revenue CAGR. Risk: inflation re-acceleration or stagflation could stall deal volumes.</t>
        </is>
      </c>
      <c r="E25" s="59" t="inlineStr">
        <is>
          <t>Net Positive: Rate normalisation supports capital markets recovery</t>
        </is>
      </c>
    </row>
    <row r="26" ht="44" customHeight="1">
      <c r="B26" s="93" t="inlineStr">
        <is>
          <t>Social</t>
        </is>
      </c>
      <c r="C26" s="93" t="inlineStr">
        <is>
          <t>NEUTRAL</t>
        </is>
      </c>
      <c r="D26" s="55" t="inlineStr">
        <is>
          <t>ESG pressure intensifying — GS committed to sustainable finance. Talent diversity expectations rising. Wealth inequality concerns affect public perception.</t>
        </is>
      </c>
      <c r="E26" s="55" t="inlineStr">
        <is>
          <t>Neutral: ESG compliance cost offset by sustainable finance revenue opportunity</t>
        </is>
      </c>
    </row>
    <row r="27" ht="44" customHeight="1">
      <c r="B27" s="94" t="inlineStr">
        <is>
          <t>Technological</t>
        </is>
      </c>
      <c r="C27" s="95" t="inlineStr">
        <is>
          <t>POSITIVE</t>
        </is>
      </c>
      <c r="D27" s="59" t="inlineStr">
        <is>
          <t>AI deployed across firm — 27% intraday trading improvement. Generative AI tools for all employees. Cybersecurity growing risk. Blockchain/digital assets.</t>
        </is>
      </c>
      <c r="E27" s="59" t="inlineStr">
        <is>
          <t>Net Positive: AI is a structural competitive advantage and efficiency driver</t>
        </is>
      </c>
    </row>
    <row r="28" ht="44" customHeight="1">
      <c r="B28" s="96" t="inlineStr">
        <is>
          <t>Legal</t>
        </is>
      </c>
      <c r="C28" s="96" t="inlineStr">
        <is>
          <t>RISK</t>
        </is>
      </c>
      <c r="D28" s="55" t="inlineStr">
        <is>
          <t>Basel III, Dodd-Frank, Fed Stress Capital Buffer (6.4% — contested). Global regulatory divergence (EU vs US) creates compliance complexity.</t>
        </is>
      </c>
      <c r="E28" s="55" t="inlineStr">
        <is>
          <t>Net Negative: Capital requirements constrain ROE; management actively contesting SCB</t>
        </is>
      </c>
    </row>
    <row r="29" ht="44" customHeight="1">
      <c r="B29" s="97" t="inlineStr">
        <is>
          <t>Environmental</t>
        </is>
      </c>
      <c r="C29" s="97" t="inlineStr">
        <is>
          <t>POSITIVE</t>
        </is>
      </c>
      <c r="D29" s="59" t="inlineStr">
        <is>
          <t>GS committed $750B sustainable finance target by 2030. Climate risk disclosure increasing. Energy transition = major M&amp;A advisory pipeline.</t>
        </is>
      </c>
      <c r="E29" s="59" t="inlineStr">
        <is>
          <t>Net Positive: Sustainability is a revenue opportunity and brand differentiator</t>
        </is>
      </c>
    </row>
  </sheetData>
  <mergeCells count="35">
    <mergeCell ref="D20:E20"/>
    <mergeCell ref="B16:C16"/>
    <mergeCell ref="D10:E10"/>
    <mergeCell ref="B7:C7"/>
    <mergeCell ref="D19:E19"/>
    <mergeCell ref="B18:C18"/>
    <mergeCell ref="D6:E6"/>
    <mergeCell ref="B11:C11"/>
    <mergeCell ref="D11:E11"/>
    <mergeCell ref="D13:E13"/>
    <mergeCell ref="B14:C14"/>
    <mergeCell ref="B17:C17"/>
    <mergeCell ref="B8:C8"/>
    <mergeCell ref="D17:E17"/>
    <mergeCell ref="B22:E22"/>
    <mergeCell ref="B13:C13"/>
    <mergeCell ref="D16:E16"/>
    <mergeCell ref="D7:E7"/>
    <mergeCell ref="B19:C19"/>
    <mergeCell ref="B10:C10"/>
    <mergeCell ref="D4:E4"/>
    <mergeCell ref="B2:E2"/>
    <mergeCell ref="D18:E18"/>
    <mergeCell ref="B9:C9"/>
    <mergeCell ref="D9:E9"/>
    <mergeCell ref="D8:E8"/>
    <mergeCell ref="B6:C6"/>
    <mergeCell ref="B1:E1"/>
    <mergeCell ref="B15:C15"/>
    <mergeCell ref="D15:E15"/>
    <mergeCell ref="B5:C5"/>
    <mergeCell ref="B20:C20"/>
    <mergeCell ref="D5:E5"/>
    <mergeCell ref="D14:E14"/>
    <mergeCell ref="B4:C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F18"/>
  <sheetViews>
    <sheetView showGridLines="0" workbookViewId="0">
      <selection activeCell="A1" sqref="A1"/>
    </sheetView>
  </sheetViews>
  <sheetFormatPr baseColWidth="8" defaultRowHeight="15"/>
  <cols>
    <col width="2" customWidth="1" min="1" max="1"/>
    <col width="30" customWidth="1" min="2" max="2"/>
    <col width="14" customWidth="1" min="3" max="3"/>
    <col width="14" customWidth="1" min="4" max="4"/>
    <col width="36" customWidth="1" min="5" max="5"/>
    <col width="2" customWidth="1" min="6" max="6"/>
  </cols>
  <sheetData>
    <row r="1">
      <c r="B1" s="26" t="inlineStr">
        <is>
          <t>RISK ANALYSIS — GOLDMAN SACHS GROUP, INC.</t>
        </is>
      </c>
    </row>
    <row r="2">
      <c r="B2" s="27" t="inlineStr">
        <is>
          <t>Top Strategic Risks | Likelihood × Impact | Regulatory &amp; Concentration Exposure</t>
        </is>
      </c>
    </row>
    <row r="4">
      <c r="B4" s="28" t="inlineStr">
        <is>
          <t>TOP 3 STRATEGIC RISKS — LIKELIHOOD × IMPACT MATRIX</t>
        </is>
      </c>
    </row>
    <row r="5">
      <c r="B5" s="29" t="inlineStr">
        <is>
          <t>Risk</t>
        </is>
      </c>
      <c r="C5" s="29" t="inlineStr">
        <is>
          <t>Likelihood</t>
        </is>
      </c>
      <c r="D5" s="29" t="inlineStr">
        <is>
          <t>Impact</t>
        </is>
      </c>
      <c r="E5" s="29" t="inlineStr">
        <is>
          <t>Description &amp; Mitigation</t>
        </is>
      </c>
    </row>
    <row r="6" ht="70" customHeight="1">
      <c r="B6" s="98" t="inlineStr">
        <is>
          <t>RISK 1: Regulatory Capital Headwinds
(Basel III + Fed Stress Capital Buffer)</t>
        </is>
      </c>
      <c r="C6" s="68" t="inlineStr">
        <is>
          <t>HIGH</t>
        </is>
      </c>
      <c r="D6" s="68" t="inlineStr">
        <is>
          <t>HIGH</t>
        </is>
      </c>
      <c r="E6" s="99" t="inlineStr">
        <is>
          <t>The Fed increased Goldman's SCB to 6.4% in 2024, raising CET1 requirement to 13.9% — management publicly contested. Basel III endgame rules could increase requirements further. Directly constrains balance sheet deployment, reduces ROE potential, and limits capital return.
MITIGATION: GS operating at 14.5% CET1 (buffer exists); regulatory deregulation trend may ease.</t>
        </is>
      </c>
    </row>
    <row r="7" ht="70" customHeight="1">
      <c r="B7" s="100" t="inlineStr">
        <is>
          <t>RISK 2: Macroeconomic Cyclicality
&amp; Deal Freeze Risk</t>
        </is>
      </c>
      <c r="C7" s="67" t="inlineStr">
        <is>
          <t>MEDIUM</t>
        </is>
      </c>
      <c r="D7" s="101" t="inlineStr">
        <is>
          <t>VERY HIGH</t>
        </is>
      </c>
      <c r="E7" s="102" t="inlineStr">
        <is>
          <t>Goldman's GBM revenues are highly correlated with capital market activity. Recession, credit seizure, or geopolitical shock (tariffs, war) can trigger rapid deal volume collapse. GS CEO described early 2025 economy as 'in a fragile place.'
MITIGATION: AWM provides fee income stability ($3.1T AUS is recession-resilient). 65% of revenues remain in volatile GBM — ongoing risk.</t>
        </is>
      </c>
    </row>
    <row r="8" ht="70" customHeight="1">
      <c r="B8" s="98" t="inlineStr">
        <is>
          <t>RISK 3: Cybersecurity &amp;
Technology Resilience</t>
        </is>
      </c>
      <c r="C8" s="49" t="inlineStr">
        <is>
          <t>MEDIUM</t>
        </is>
      </c>
      <c r="D8" s="68" t="inlineStr">
        <is>
          <t>HIGH</t>
        </is>
      </c>
      <c r="E8" s="99" t="inlineStr">
        <is>
          <t>As GS deploys AI across trading, compliance, and advisory, the attack surface expands. Financial institutions are prime targets for state-sponsored attacks and ransomware. SEC cyber disclosure rules (2023) increase accountability.
MITIGATION: Active BCTR programme; AI-driven security; CISO function; global incident response.</t>
        </is>
      </c>
    </row>
    <row r="10">
      <c r="B10" s="28" t="inlineStr">
        <is>
          <t>ADDITIONAL RISK EXPOSURES</t>
        </is>
      </c>
    </row>
    <row r="11">
      <c r="B11" s="29" t="inlineStr">
        <is>
          <t>Risk Category</t>
        </is>
      </c>
      <c r="C11" s="29" t="inlineStr">
        <is>
          <t>Rating</t>
        </is>
      </c>
      <c r="D11" s="29" t="inlineStr">
        <is>
          <t>Exposure Detail</t>
        </is>
      </c>
      <c r="E11" s="29" t="inlineStr">
        <is>
          <t>Mitigation Status</t>
        </is>
      </c>
      <c r="F11" s="29" t="inlineStr">
        <is>
          <t>Priority</t>
        </is>
      </c>
    </row>
    <row r="12" ht="24" customHeight="1">
      <c r="B12" s="52" t="inlineStr">
        <is>
          <t>Market Concentration Risk</t>
        </is>
      </c>
      <c r="C12" s="22" t="inlineStr">
        <is>
          <t>AMBER</t>
        </is>
      </c>
      <c r="D12" s="55" t="inlineStr">
        <is>
          <t>65% of revenue in GBM (capital markets cyclical)</t>
        </is>
      </c>
      <c r="E12" s="55" t="inlineStr">
        <is>
          <t>AWM scaling reduces dependency</t>
        </is>
      </c>
      <c r="F12" s="22" t="inlineStr">
        <is>
          <t>MEDIUM</t>
        </is>
      </c>
    </row>
    <row r="13" ht="24" customHeight="1">
      <c r="B13" s="56" t="inlineStr">
        <is>
          <t>Geographic Concentration</t>
        </is>
      </c>
      <c r="C13" s="23" t="inlineStr">
        <is>
          <t>AMBER</t>
        </is>
      </c>
      <c r="D13" s="59" t="inlineStr">
        <is>
          <t>~60% revenue from Americas; APAC underweight</t>
        </is>
      </c>
      <c r="E13" s="59" t="inlineStr">
        <is>
          <t>Expanding APAC and EMEA coverage</t>
        </is>
      </c>
      <c r="F13" s="23" t="inlineStr">
        <is>
          <t>MEDIUM</t>
        </is>
      </c>
    </row>
    <row r="14" ht="24" customHeight="1">
      <c r="B14" s="52" t="inlineStr">
        <is>
          <t>Key Person Risk</t>
        </is>
      </c>
      <c r="C14" s="22" t="inlineStr">
        <is>
          <t>AMBER</t>
        </is>
      </c>
      <c r="D14" s="55" t="inlineStr">
        <is>
          <t>David Solomon scrutiny; senior MD attrition risk</t>
        </is>
      </c>
      <c r="E14" s="55" t="inlineStr">
        <is>
          <t>Succession planning in place</t>
        </is>
      </c>
      <c r="F14" s="22" t="inlineStr">
        <is>
          <t>MEDIUM</t>
        </is>
      </c>
    </row>
    <row r="15" ht="24" customHeight="1">
      <c r="B15" s="56" t="inlineStr">
        <is>
          <t>Regulatory Exposure</t>
        </is>
      </c>
      <c r="C15" s="51" t="inlineStr">
        <is>
          <t>HIGH</t>
        </is>
      </c>
      <c r="D15" s="59" t="inlineStr">
        <is>
          <t>Globally Systemically Important Bank (G-SIB)</t>
        </is>
      </c>
      <c r="E15" s="59" t="inlineStr">
        <is>
          <t>Active regulatory dialogue</t>
        </is>
      </c>
      <c r="F15" s="51" t="inlineStr">
        <is>
          <t>HIGH</t>
        </is>
      </c>
    </row>
    <row r="16" ht="24" customHeight="1">
      <c r="B16" s="52" t="inlineStr">
        <is>
          <t>Tariff / Trade Policy Risk</t>
        </is>
      </c>
      <c r="C16" s="22" t="inlineStr">
        <is>
          <t>AMBER</t>
        </is>
      </c>
      <c r="D16" s="55" t="inlineStr">
        <is>
          <t>International M&amp;A chilling effect from trade uncertainty</t>
        </is>
      </c>
      <c r="E16" s="55" t="inlineStr">
        <is>
          <t>Geographic diversification ongoing</t>
        </is>
      </c>
      <c r="F16" s="22" t="inlineStr">
        <is>
          <t>MEDIUM</t>
        </is>
      </c>
    </row>
    <row r="17" ht="24" customHeight="1">
      <c r="B17" s="56" t="inlineStr">
        <is>
          <t>AI Governance Risk</t>
        </is>
      </c>
      <c r="C17" s="73" t="inlineStr">
        <is>
          <t>LOW-MEDIUM</t>
        </is>
      </c>
      <c r="D17" s="59" t="inlineStr">
        <is>
          <t>SEC/global AI regulations emerging; GS AI deployment expanding</t>
        </is>
      </c>
      <c r="E17" s="59" t="inlineStr">
        <is>
          <t>Internal AI governance framework</t>
        </is>
      </c>
      <c r="F17" s="73" t="inlineStr">
        <is>
          <t>LOW</t>
        </is>
      </c>
    </row>
    <row r="18" ht="24" customHeight="1">
      <c r="B18" s="52" t="inlineStr">
        <is>
          <t>ESG / Climate Disclosure</t>
        </is>
      </c>
      <c r="C18" s="75" t="inlineStr">
        <is>
          <t>LOW-MEDIUM</t>
        </is>
      </c>
      <c r="D18" s="55" t="inlineStr">
        <is>
          <t>$750B sustainability pledge — accountability risk</t>
        </is>
      </c>
      <c r="E18" s="55" t="inlineStr">
        <is>
          <t>Annual sustainability reporting published</t>
        </is>
      </c>
      <c r="F18" s="75" t="inlineStr">
        <is>
          <t>LOW</t>
        </is>
      </c>
    </row>
  </sheetData>
  <mergeCells count="4">
    <mergeCell ref="B2:F2"/>
    <mergeCell ref="B4:F4"/>
    <mergeCell ref="B10:F10"/>
    <mergeCell ref="B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1:F19"/>
  <sheetViews>
    <sheetView showGridLines="0" workbookViewId="0">
      <selection activeCell="A1" sqref="A1"/>
    </sheetView>
  </sheetViews>
  <sheetFormatPr baseColWidth="8" defaultRowHeight="15"/>
  <cols>
    <col width="2" customWidth="1" min="1" max="1"/>
    <col width="28" customWidth="1" min="2" max="2"/>
    <col width="20" customWidth="1" min="3" max="3"/>
    <col width="18" customWidth="1" min="4" max="4"/>
    <col width="22" customWidth="1" min="5" max="5"/>
    <col width="20" customWidth="1" min="6" max="6"/>
    <col width="2" customWidth="1" min="7" max="7"/>
  </cols>
  <sheetData>
    <row r="1">
      <c r="B1" s="26" t="inlineStr">
        <is>
          <t>GROWTH STRATEGY EVALUATION — GOLDMAN SACHS</t>
        </is>
      </c>
    </row>
    <row r="2">
      <c r="B2" s="27" t="inlineStr">
        <is>
          <t>Organic vs Inorganic | Ansoff Matrix | Key Strategic Initiatives 2025–2027</t>
        </is>
      </c>
    </row>
    <row r="4">
      <c r="B4" s="28" t="inlineStr">
        <is>
          <t>ANSOFF MATRIX — STRATEGIC GROWTH PLACEMENT</t>
        </is>
      </c>
    </row>
    <row r="5">
      <c r="B5" s="29" t="inlineStr">
        <is>
          <t>Ansoff Quadrant</t>
        </is>
      </c>
      <c r="C5" s="29" t="inlineStr">
        <is>
          <t>Strategic Initiative</t>
        </is>
      </c>
      <c r="D5" s="29" t="inlineStr">
        <is>
          <t>Investment Level</t>
        </is>
      </c>
      <c r="E5" s="29" t="inlineStr">
        <is>
          <t>Timeline</t>
        </is>
      </c>
      <c r="F5" s="29" t="inlineStr">
        <is>
          <t>Expected Outcome</t>
        </is>
      </c>
    </row>
    <row r="6" ht="50" customHeight="1">
      <c r="B6" s="103" t="inlineStr">
        <is>
          <t>Market Penetration
(Existing Product × Existing Market)</t>
        </is>
      </c>
      <c r="C6" s="99" t="inlineStr">
        <is>
          <t>Deepening M&amp;A share (#1 → widen moat); AI in equities trading; deepening institutional client relationships</t>
        </is>
      </c>
      <c r="D6" s="32" t="inlineStr">
        <is>
          <t>HIGH</t>
        </is>
      </c>
      <c r="E6" s="77" t="inlineStr">
        <is>
          <t>Active / Scaling</t>
        </is>
      </c>
      <c r="F6" s="99" t="inlineStr">
        <is>
          <t>M&amp;A revenue +5.8% CAGR; Equities market share expansion</t>
        </is>
      </c>
    </row>
    <row r="7" ht="50" customHeight="1">
      <c r="B7" s="104" t="inlineStr">
        <is>
          <t>Market Development
(Existing Product × New Market)</t>
        </is>
      </c>
      <c r="C7" s="102" t="inlineStr">
        <is>
          <t>Middle East SWF partnerships; APAC institutional expansion; family office outreach; emerging market advisory mandates</t>
        </is>
      </c>
      <c r="D7" s="36" t="inlineStr">
        <is>
          <t>MEDIUM-HIGH</t>
        </is>
      </c>
      <c r="E7" s="78" t="inlineStr">
        <is>
          <t>Actively Executing</t>
        </is>
      </c>
      <c r="F7" s="102" t="inlineStr">
        <is>
          <t>15-20% revenue diversification away from Americas</t>
        </is>
      </c>
    </row>
    <row r="8" ht="50" customHeight="1">
      <c r="B8" s="105" t="inlineStr">
        <is>
          <t>Product Development
(New Product × Existing Market)</t>
        </is>
      </c>
      <c r="C8" s="99" t="inlineStr">
        <is>
          <t>Private credit expansion; AI-powered advisory tools; infrastructure &amp; energy transition products; alternatives growth</t>
        </is>
      </c>
      <c r="D8" s="106" t="inlineStr">
        <is>
          <t>HIGH</t>
        </is>
      </c>
      <c r="E8" s="77" t="inlineStr">
        <is>
          <t>Growing Rapidly</t>
        </is>
      </c>
      <c r="F8" s="99" t="inlineStr">
        <is>
          <t>AWM AUS to $4T+; private credit to $50B+</t>
        </is>
      </c>
    </row>
    <row r="9" ht="50" customHeight="1">
      <c r="B9" s="107" t="inlineStr">
        <is>
          <t>Diversification
(New Product × New Market)</t>
        </is>
      </c>
      <c r="C9" s="102" t="inlineStr">
        <is>
          <t>Digital assets custody exploration; fintech partnerships (post-consumer exit); selective venture ecosystem plays</t>
        </is>
      </c>
      <c r="D9" s="67" t="inlineStr">
        <is>
          <t>LOW-MEDIUM</t>
        </is>
      </c>
      <c r="E9" s="78" t="inlineStr">
        <is>
          <t>Cautious / Selective</t>
        </is>
      </c>
      <c r="F9" s="102" t="inlineStr">
        <is>
          <t>Optionality creation; limited near-term revenue</t>
        </is>
      </c>
    </row>
    <row r="11">
      <c r="B11" s="28" t="inlineStr">
        <is>
          <t>KEY STRATEGIC INITIATIVES &amp; RECENT CORPORATE ACTIONS</t>
        </is>
      </c>
    </row>
    <row r="12">
      <c r="B12" s="29" t="inlineStr">
        <is>
          <t>Initiative</t>
        </is>
      </c>
      <c r="C12" s="29" t="inlineStr">
        <is>
          <t>Type</t>
        </is>
      </c>
      <c r="D12" s="29" t="inlineStr">
        <is>
          <t>Status</t>
        </is>
      </c>
      <c r="E12" s="29" t="inlineStr">
        <is>
          <t>Strategic Rationale</t>
        </is>
      </c>
      <c r="F12" s="29" t="inlineStr">
        <is>
          <t>Expected Impact</t>
        </is>
      </c>
    </row>
    <row r="13" ht="30" customHeight="1">
      <c r="B13" s="52" t="inlineStr">
        <is>
          <t>AI 3-Year Productivity Programme</t>
        </is>
      </c>
      <c r="C13" s="108" t="inlineStr">
        <is>
          <t>Organic</t>
        </is>
      </c>
      <c r="D13" s="15" t="inlineStr">
        <is>
          <t>Active</t>
        </is>
      </c>
      <c r="E13" s="55" t="inlineStr">
        <is>
          <t>Reduce non-comp expenses; improve efficiency ratio to sub-60%</t>
        </is>
      </c>
      <c r="F13" s="109" t="inlineStr">
        <is>
          <t>+27% intraday trading profitability already achieved</t>
        </is>
      </c>
    </row>
    <row r="14" ht="30" customHeight="1">
      <c r="B14" s="56" t="inlineStr">
        <is>
          <t>GreenSky Divestiture (2024)</t>
        </is>
      </c>
      <c r="C14" s="108" t="inlineStr">
        <is>
          <t>Divestiture</t>
        </is>
      </c>
      <c r="D14" s="25" t="inlineStr">
        <is>
          <t>Completed</t>
        </is>
      </c>
      <c r="E14" s="59" t="inlineStr">
        <is>
          <t>Exit consumer lending; free capital for core institutional businesses</t>
        </is>
      </c>
      <c r="F14" s="110" t="inlineStr">
        <is>
          <t>Significant capital and management bandwidth freed</t>
        </is>
      </c>
    </row>
    <row r="15" ht="30" customHeight="1">
      <c r="B15" s="52" t="inlineStr">
        <is>
          <t>Industry Ventures Acquisition</t>
        </is>
      </c>
      <c r="C15" s="108" t="inlineStr">
        <is>
          <t>Inorganic</t>
        </is>
      </c>
      <c r="D15" s="111" t="inlineStr">
        <is>
          <t>Completed</t>
        </is>
      </c>
      <c r="E15" s="55" t="inlineStr">
        <is>
          <t>Expand private markets access and alternatives AUM</t>
        </is>
      </c>
      <c r="F15" s="112" t="inlineStr">
        <is>
          <t>Strengthens AWM alternatives offering</t>
        </is>
      </c>
    </row>
    <row r="16" ht="30" customHeight="1">
      <c r="B16" s="56" t="inlineStr">
        <is>
          <t>T. Rowe Price Partnership</t>
        </is>
      </c>
      <c r="C16" s="108" t="inlineStr">
        <is>
          <t>Partnership</t>
        </is>
      </c>
      <c r="D16" s="25" t="inlineStr">
        <is>
          <t>Active</t>
        </is>
      </c>
      <c r="E16" s="59" t="inlineStr">
        <is>
          <t>Asset management distribution; expand fee-based revenue base</t>
        </is>
      </c>
      <c r="F16" s="110" t="inlineStr">
        <is>
          <t>Wider distribution for AWM products</t>
        </is>
      </c>
    </row>
    <row r="17" ht="30" customHeight="1">
      <c r="B17" s="52" t="inlineStr">
        <is>
          <t>Middle East SWF Expansion</t>
        </is>
      </c>
      <c r="C17" s="108" t="inlineStr">
        <is>
          <t>Organic</t>
        </is>
      </c>
      <c r="D17" s="111" t="inlineStr">
        <is>
          <t>Active</t>
        </is>
      </c>
      <c r="E17" s="55" t="inlineStr">
        <is>
          <t>Deepen sovereign wealth fund relationships; geog. diversification</t>
        </is>
      </c>
      <c r="F17" s="112" t="inlineStr">
        <is>
          <t>Potential $50B+ AUS from Gulf region</t>
        </is>
      </c>
    </row>
    <row r="18" ht="30" customHeight="1">
      <c r="B18" s="56" t="inlineStr">
        <is>
          <t>Private Credit Platform</t>
        </is>
      </c>
      <c r="C18" s="108" t="inlineStr">
        <is>
          <t>Organic</t>
        </is>
      </c>
      <c r="D18" s="20" t="inlineStr">
        <is>
          <t>Growing</t>
        </is>
      </c>
      <c r="E18" s="59" t="inlineStr">
        <is>
          <t>Capture $1.5T+ growing private credit market opportunity</t>
        </is>
      </c>
      <c r="F18" s="113" t="inlineStr">
        <is>
          <t>Target $50B+ direct lending within 3 years</t>
        </is>
      </c>
    </row>
    <row r="19" ht="30" customHeight="1">
      <c r="B19" s="52" t="inlineStr">
        <is>
          <t>Capital Return Programme</t>
        </is>
      </c>
      <c r="C19" s="108" t="inlineStr">
        <is>
          <t>Capital Mgmt</t>
        </is>
      </c>
      <c r="D19" s="15" t="inlineStr">
        <is>
          <t>Ongoing</t>
        </is>
      </c>
      <c r="E19" s="55" t="inlineStr">
        <is>
          <t>Buybacks + dividends — significant return to shareholders in 2024</t>
        </is>
      </c>
      <c r="F19" s="109" t="inlineStr">
        <is>
          <t>52% total shareholder return in FY 2024</t>
        </is>
      </c>
    </row>
  </sheetData>
  <mergeCells count="4">
    <mergeCell ref="B2:F2"/>
    <mergeCell ref="B4:F4"/>
    <mergeCell ref="B11:F11"/>
    <mergeCell ref="B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1:D27"/>
  <sheetViews>
    <sheetView showGridLines="0" workbookViewId="0">
      <selection activeCell="A1" sqref="A1"/>
    </sheetView>
  </sheetViews>
  <sheetFormatPr baseColWidth="8" defaultRowHeight="15"/>
  <cols>
    <col width="2" customWidth="1" min="1" max="1"/>
    <col width="16" customWidth="1" min="2" max="2"/>
    <col width="50" customWidth="1" min="3" max="3"/>
    <col width="18" customWidth="1" min="4" max="4"/>
    <col width="2" customWidth="1" min="5" max="5"/>
  </cols>
  <sheetData>
    <row r="1">
      <c r="B1" s="26" t="inlineStr">
        <is>
          <t>ANALYST VERDICT &amp; FINAL SCORECARD</t>
        </is>
      </c>
    </row>
    <row r="2">
      <c r="B2" s="27" t="inlineStr">
        <is>
          <t>McKinsey Senior Analyst Recommendation | March 2026 | For Senior Leadership Presentation</t>
        </is>
      </c>
    </row>
    <row r="4" ht="36" customHeight="1">
      <c r="B4" s="114" t="inlineStr">
        <is>
          <t>RECOMMENDATION:  STRONG BUY / STRATEGIC PARTNER</t>
        </is>
      </c>
    </row>
    <row r="6">
      <c r="B6" s="28" t="inlineStr">
        <is>
          <t>THREE-POINT RATIONALE FOR SENIOR LEADERSHIP</t>
        </is>
      </c>
    </row>
    <row r="7" ht="16" customHeight="1">
      <c r="B7" s="97" t="inlineStr">
        <is>
          <t>POINT 1</t>
        </is>
      </c>
      <c r="C7" s="115" t="inlineStr">
        <is>
          <t>Structural Earnings Recovery Validated</t>
        </is>
      </c>
      <c r="D7" s="97" t="inlineStr">
        <is>
          <t>✓ BULLISH</t>
        </is>
      </c>
    </row>
    <row r="8" ht="60" customHeight="1">
      <c r="B8" s="116" t="inlineStr">
        <is>
          <t>Goldman Sachs delivered its second-best revenue year on record in FY 2024 — $53.51B (+16% YoY) — with net earnings of $14.28B and EPS surging 77% to $40.54. The GreenSky and Marcus consumer exits freed capital and management attention for higher-margin institutional businesses. Efficiency ratio improved 11.5pp to 63.1%, demonstrating operating leverage. ROE of 12.7% is recovering toward 14-16% target. Path to 15%+ ROE in 2025-2026 is credible with continued deal market recovery.</t>
        </is>
      </c>
      <c r="C8" s="117" t="n"/>
      <c r="D8" s="118" t="n"/>
    </row>
    <row r="9" ht="16" customHeight="1">
      <c r="B9" s="119" t="inlineStr">
        <is>
          <t>POINT 2</t>
        </is>
      </c>
      <c r="C9" s="64" t="inlineStr">
        <is>
          <t>#1 M&amp;A Position Poised for Deal-Making Supercycle</t>
        </is>
      </c>
      <c r="D9" s="119" t="inlineStr">
        <is>
          <t>✓ BULLISH</t>
        </is>
      </c>
    </row>
    <row r="10" ht="60" customHeight="1">
      <c r="B10" s="120" t="inlineStr">
        <is>
          <t>Goldman Sachs captured 36.4% of global M&amp;A volume in FY 2025 — the unambiguous market leader. CEO confidence is surging in the post-election environment. Private credit, infrastructure, and energy transition are creating entirely new advisory mandates. GS is best-positioned globally to monetise this multi-year deal cycle. The pipeline of announced-but-not-closed M&amp;A at year-end 2024 was materially higher than 2023.</t>
        </is>
      </c>
      <c r="C10" s="121" t="n"/>
      <c r="D10" s="122" t="n"/>
    </row>
    <row r="11" ht="16" customHeight="1">
      <c r="B11" s="94" t="inlineStr">
        <is>
          <t>POINT 3</t>
        </is>
      </c>
      <c r="C11" s="123" t="inlineStr">
        <is>
          <t>AI-Enabled Efficiency Creates Durable Margin Expansion</t>
        </is>
      </c>
      <c r="D11" s="94" t="inlineStr">
        <is>
          <t>✓ BULLISH</t>
        </is>
      </c>
    </row>
    <row r="12" ht="60" customHeight="1">
      <c r="B12" s="124" t="inlineStr">
        <is>
          <t>In 2024, Goldman launched a 3-year AI programme to reduce non-comp expenses and increase productivity. AI-driven trading systems demonstrated 27% increase in intraday profitability. As GS revenue mix shifts further toward fee-based AWM income and AI reduces headcount growth requirements, the efficiency ratio should improve from 63.1% toward sub-60%. This creates a durable margin expansion story that justifies a premium to peers on P/B multiples.</t>
        </is>
      </c>
      <c r="C12" s="117" t="n"/>
      <c r="D12" s="118" t="n"/>
    </row>
    <row r="14">
      <c r="B14" s="28" t="inlineStr">
        <is>
          <t>FINAL SCORECARD — McKINSEY RATING (Scale: 1–10)</t>
        </is>
      </c>
    </row>
    <row r="15">
      <c r="B15" s="29" t="inlineStr">
        <is>
          <t>Dimension</t>
        </is>
      </c>
      <c r="C15" s="29" t="inlineStr">
        <is>
          <t>Score</t>
        </is>
      </c>
      <c r="D15" s="29" t="inlineStr">
        <is>
          <t>Commentary</t>
        </is>
      </c>
    </row>
    <row r="16" ht="22" customHeight="1">
      <c r="B16" s="125" t="inlineStr">
        <is>
          <t>Financial Health</t>
        </is>
      </c>
      <c r="C16" s="126" t="n">
        <v>8.199999999999999</v>
      </c>
      <c r="D16" s="127" t="inlineStr">
        <is>
          <t>Record revenues, strong EPS, improving efficiency. Below 14-16% ROE target.</t>
        </is>
      </c>
    </row>
    <row r="17" ht="22" customHeight="1">
      <c r="B17" s="128" t="inlineStr">
        <is>
          <t>Market Position &amp; Brand</t>
        </is>
      </c>
      <c r="C17" s="129" t="n">
        <v>9.5</v>
      </c>
      <c r="D17" s="130" t="inlineStr">
        <is>
          <t>#1 M&amp;A advisory 20+ years; near-perfect brand score. Only gap: Morgan Stanley wealth AUM.</t>
        </is>
      </c>
    </row>
    <row r="18" ht="22" customHeight="1">
      <c r="B18" s="125" t="inlineStr">
        <is>
          <t>Revenue Quality &amp; Mix</t>
        </is>
      </c>
      <c r="C18" s="126" t="n">
        <v>7.8</v>
      </c>
      <c r="D18" s="127" t="inlineStr">
        <is>
          <t>Strong IB fees + Equities. Mix shift toward fee-based AWM ongoing.</t>
        </is>
      </c>
    </row>
    <row r="19" ht="22" customHeight="1">
      <c r="B19" s="128" t="inlineStr">
        <is>
          <t>Growth Potential (2025-27)</t>
        </is>
      </c>
      <c r="C19" s="131" t="n">
        <v>8.5</v>
      </c>
      <c r="D19" s="130" t="inlineStr">
        <is>
          <t>M&amp;A supercycle + private credit + AI productivity = credible multi-year growth thesis.</t>
        </is>
      </c>
    </row>
    <row r="20" ht="22" customHeight="1">
      <c r="B20" s="125" t="inlineStr">
        <is>
          <t>Operational Efficiency</t>
        </is>
      </c>
      <c r="C20" s="132" t="n">
        <v>7.5</v>
      </c>
      <c r="D20" s="127" t="inlineStr">
        <is>
          <t>Efficiency ratio 63.1% — improving but not yet at sub-60% target.</t>
        </is>
      </c>
    </row>
    <row r="21" ht="22" customHeight="1">
      <c r="B21" s="128" t="inlineStr">
        <is>
          <t>Competitive Moat</t>
        </is>
      </c>
      <c r="C21" s="129" t="n">
        <v>9</v>
      </c>
      <c r="D21" s="130" t="inlineStr">
        <is>
          <t>Brand, talent, data, and balance sheet moats. AI widening the gap.</t>
        </is>
      </c>
    </row>
    <row r="22" ht="22" customHeight="1">
      <c r="B22" s="125" t="inlineStr">
        <is>
          <t>Risk Profile</t>
        </is>
      </c>
      <c r="C22" s="133" t="n">
        <v>6.5</v>
      </c>
      <c r="D22" s="127" t="inlineStr">
        <is>
          <t>Revenue cyclicality, Basel III headwinds, cybersecurity, and macro sensitivity.</t>
        </is>
      </c>
    </row>
    <row r="23" ht="22" customHeight="1">
      <c r="B23" s="128" t="inlineStr">
        <is>
          <t>ESG &amp; Regulatory Posture</t>
        </is>
      </c>
      <c r="C23" s="134" t="n">
        <v>6.8</v>
      </c>
      <c r="D23" s="130" t="inlineStr">
        <is>
          <t>$750B sustainability pledge. Active regulatory engagement. Fed SCB contested.</t>
        </is>
      </c>
    </row>
    <row r="24" ht="22" customHeight="1">
      <c r="B24" s="125" t="inlineStr">
        <is>
          <t>Leadership &amp; Culture</t>
        </is>
      </c>
      <c r="C24" s="126" t="n">
        <v>8</v>
      </c>
      <c r="D24" s="127" t="inlineStr">
        <is>
          <t>Stable Goldman culture. CEO scrutiny is a watch item.</t>
        </is>
      </c>
    </row>
    <row r="25" ht="22" customHeight="1">
      <c r="B25" s="135" t="inlineStr">
        <is>
          <t>OVERALL ANALYST RATING</t>
        </is>
      </c>
      <c r="C25" s="136" t="n">
        <v>8.199999999999999</v>
      </c>
      <c r="D25" s="59" t="inlineStr">
        <is>
          <t>Best-in-class institutional asset. Strong Buy / Strategic Partner.</t>
        </is>
      </c>
    </row>
    <row r="27" ht="30" customHeight="1">
      <c r="B27" s="137" t="inlineStr">
        <is>
          <t>DISCLAIMER: This report is for internal strategic use only. All data from GS public filings (10-K, 8-K, Annual Report 2024), SEC EDGAR, and verified market intelligence as of March 2026. This does not constitute investment advice. © 2026 McKinsey &amp; Company — Confidential.</t>
        </is>
      </c>
    </row>
  </sheetData>
  <mergeCells count="9">
    <mergeCell ref="B10:D10"/>
    <mergeCell ref="B14:D14"/>
    <mergeCell ref="B1:D1"/>
    <mergeCell ref="B8:D8"/>
    <mergeCell ref="B4:D4"/>
    <mergeCell ref="B27:D27"/>
    <mergeCell ref="B12:D12"/>
    <mergeCell ref="B6:D6"/>
    <mergeCell ref="B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2026-03-25T08:24:10Z</dcterms:created>
  <dcterms:modified xmlns:dcterms="http://purl.org/dc/terms/" xmlns:xsi="http://www.w3.org/2001/XMLSchema-instance" xsi:type="dcterms:W3CDTF">2026-03-25T08:24:10Z</dcterms:modified>
</cp:coreProperties>
</file>